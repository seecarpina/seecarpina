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ícios" sheetId="1" r:id="rId4"/>
    <sheet state="visible" name="&lt; 1700" sheetId="2" r:id="rId5"/>
    <sheet state="visible" name="Ofícios Circulares" sheetId="3" r:id="rId6"/>
    <sheet state="visible" name="Dados" sheetId="4" r:id="rId7"/>
    <sheet state="visible" name="Dashboard" sheetId="5" r:id="rId8"/>
  </sheets>
  <definedNames>
    <definedName hidden="1" localSheetId="0" name="_xlnm._FilterDatabase">'Ofícios'!$A$2:$F$1304</definedName>
    <definedName hidden="1" localSheetId="2" name="_xlnm._FilterDatabase">'Ofícios Circulares'!$A$2:$E$478</definedName>
    <definedName hidden="1" localSheetId="3" name="_xlnm._FilterDatabase">Dados!$A$2:$C$2</definedName>
  </definedNames>
  <calcPr/>
  <extLst>
    <ext uri="GoogleSheetsCustomDataVersion2">
      <go:sheetsCustomData xmlns:go="http://customooxmlschemas.google.com/" r:id="rId9" roundtripDataChecksum="QPWK8FywjLTpC6iZ9TKHp4txJnTXXW/toYvlhpf0iQs="/>
    </ext>
  </extLst>
</workbook>
</file>

<file path=xl/sharedStrings.xml><?xml version="1.0" encoding="utf-8"?>
<sst xmlns="http://schemas.openxmlformats.org/spreadsheetml/2006/main" count="3232" uniqueCount="1209">
  <si>
    <t>CONTROLE DE OFÍCIO SIMPLES - 2025</t>
  </si>
  <si>
    <t>Nº</t>
  </si>
  <si>
    <t>Data</t>
  </si>
  <si>
    <t>Assunto</t>
  </si>
  <si>
    <t>Destino</t>
  </si>
  <si>
    <t>CC</t>
  </si>
  <si>
    <t>Responsável</t>
  </si>
  <si>
    <t>Solicita produção de cards sobre a disponibilização dos ônibus nos dias 8 e 11 de setembro</t>
  </si>
  <si>
    <t>Setor de Comunicação</t>
  </si>
  <si>
    <t>Raphael</t>
  </si>
  <si>
    <t>Solicita reserva do auditório da prefeitura para receber equipe da Escola Aprendiz de Marinheiro</t>
  </si>
  <si>
    <t>Gabinete</t>
  </si>
  <si>
    <t>Solicita pagamento da conta NEOENERGIA - Escola Madre Virgínia</t>
  </si>
  <si>
    <t>Secretaria de Finanças</t>
  </si>
  <si>
    <t>Sebastião</t>
  </si>
  <si>
    <t>Solicita Contratação de Monitores para ônibus que fazem as rotas na Zona Rural</t>
  </si>
  <si>
    <t>Aquisição de Insumos para Almoço do dia 11 de setembro</t>
  </si>
  <si>
    <t>Secretaria de Governo</t>
  </si>
  <si>
    <t>Paula Karina</t>
  </si>
  <si>
    <t>Resposta ao Ofício nº 163/2025</t>
  </si>
  <si>
    <t>SINDPROFM</t>
  </si>
  <si>
    <t xml:space="preserve">Solicita retirada de materiais de limpeza - ARTLIMP </t>
  </si>
  <si>
    <t xml:space="preserve">Setor de Compras </t>
  </si>
  <si>
    <t>Thayza</t>
  </si>
  <si>
    <t>Encaminha frequência da segunda quinzena de Agosto</t>
  </si>
  <si>
    <t>RH</t>
  </si>
  <si>
    <t>Lara</t>
  </si>
  <si>
    <t>Encaminha Nota Fiscal Pablo Luis Martins</t>
  </si>
  <si>
    <t>Encaminha DFD - Kits Escolares 2026</t>
  </si>
  <si>
    <t>Secretaria de Administração</t>
  </si>
  <si>
    <t>Setor de Licitação</t>
  </si>
  <si>
    <t>Detetização da Escola</t>
  </si>
  <si>
    <t xml:space="preserve">Aluguel de Imovel Luna Filho Loja Maçonica </t>
  </si>
  <si>
    <t>Resposta ao MP Oficio 02207.000.224/2025-0002</t>
  </si>
  <si>
    <t>Ministério Publico PE</t>
  </si>
  <si>
    <t>Raimunda</t>
  </si>
  <si>
    <t>Solicita contrato de Sinthya Jeronimo da Silva e encaminha docs</t>
  </si>
  <si>
    <t xml:space="preserve">Aluguel de Imovel Rancho do Himalaia </t>
  </si>
  <si>
    <t>Aluguel de Imovel Sao Joaquim Caraúbas</t>
  </si>
  <si>
    <t>Aluguel Imovel Madre Virginia</t>
  </si>
  <si>
    <t xml:space="preserve">Aluguel de Imovel CEI Santa' Ana Olho Dágua </t>
  </si>
  <si>
    <t>Aluguel de Imovel Deposito de Merenda</t>
  </si>
  <si>
    <t>Encaminha Requerimento de Férias</t>
  </si>
  <si>
    <t>Aluguel de Imovel Quadra Carauba</t>
  </si>
  <si>
    <t>Aluguel de Imovel Casa Rosa</t>
  </si>
  <si>
    <t xml:space="preserve">Aluguel de Imovel SEE </t>
  </si>
  <si>
    <t>Aluguel de Imovel CEI SANTANA</t>
  </si>
  <si>
    <t xml:space="preserve">Aluguel de Imovel CEI PETRIBU </t>
  </si>
  <si>
    <t>Aluguel Imovel Programa Amor</t>
  </si>
  <si>
    <t>Aluguel Imovel PIO X</t>
  </si>
  <si>
    <t>Aluguel Nova Santa Cruz</t>
  </si>
  <si>
    <t>Encaminhamento de planilha de licença prêmio e solicitação de portarias</t>
  </si>
  <si>
    <t>Encaminha Nota Fiscal RECICOM</t>
  </si>
  <si>
    <t>Encaminha Nota Fiscal BIZ SOLUÇÕES</t>
  </si>
  <si>
    <t>Encaminha Nota Fiscal MP3 Distribuidora</t>
  </si>
  <si>
    <t>Encaminha Nota Fiscal Ezata Mercantil</t>
  </si>
  <si>
    <t>Encaminha Nota Fiscal Adriana da Silva Ferreira Delivery</t>
  </si>
  <si>
    <t>Encaminha Nota Fiscal - Aluguel e serviços de refrigeração  - Helinberg</t>
  </si>
  <si>
    <t>Solicita contrato de Rebeca Karine de Souza Costa Correia Melo e encaminha docs</t>
  </si>
  <si>
    <t>Resposta ao MP Oficio 02208.000.321/2025-0002</t>
  </si>
  <si>
    <t>Encaminha Nota Fiscal - Carmel - Compra de Corda desfile</t>
  </si>
  <si>
    <t>Encaminha Conta Compesa - Depósito de Merenda</t>
  </si>
  <si>
    <t>Encaminha Nota Fiscal Autoforte Peças</t>
  </si>
  <si>
    <t>Encaminha Nota Fiscal Autoforte Serviços</t>
  </si>
  <si>
    <t>Solicita Pagamento de Custas Cartorarias Creche e Pre Escola Zite do Carmo</t>
  </si>
  <si>
    <t>Solicita pagamento da conta NEOENERGIA - SEE</t>
  </si>
  <si>
    <t>Encaminha NF Anelise Francisca de Moura - ME</t>
  </si>
  <si>
    <t>Solicita exoneração de Diêgo José de Melo Moura e solicita substituto</t>
  </si>
  <si>
    <t>Resposta ao Ofício CGM nº 130/2025 – Levantamento Nacional Retrato da Educação Infantil no Brasil 2025 (SIMEC)</t>
  </si>
  <si>
    <t>Controladoria Geral Municipio de Carpina</t>
  </si>
  <si>
    <t>Solicita contrato de Micheline Sthephany Lourenço e encaminha docs</t>
  </si>
  <si>
    <t>Encaminha Requerimento de Férias (Eraldo e Yara)</t>
  </si>
  <si>
    <t>Solicita professor de 150h para suprir a vacância da readaptação de Adeilza Pereira da Silva</t>
  </si>
  <si>
    <t>Contratação Secretaria de Governo</t>
  </si>
  <si>
    <t>Helse Montarroyos</t>
  </si>
  <si>
    <t xml:space="preserve">Resposta ao Ofício 128/2025 CGM Servidor responsavel BAE </t>
  </si>
  <si>
    <t>Solicita visita Eletricista - Creche Pastor Manoel Amaro</t>
  </si>
  <si>
    <t>Secretaria de Infraestrutura</t>
  </si>
  <si>
    <t>Encaminha requerimentos de licença (Celestina e Jeane)</t>
  </si>
  <si>
    <t>Encaminha requerimento de Ginaldo Pedro</t>
  </si>
  <si>
    <t xml:space="preserve">Encaminha Conta Neoenergia CEI SANTANA </t>
  </si>
  <si>
    <t>Solicita exoneração de Jane Clécia Barbosa da Silva e pede substituto</t>
  </si>
  <si>
    <t>Solicitação de limpeza de fossa e desentupimento de canos de esgoto  – Creche Municipal Proinfância Brena Rayssa.</t>
  </si>
  <si>
    <t>Solicita retirada de materiais de limpeza - JMS</t>
  </si>
  <si>
    <t>Solicitação de reparo em fossa séptica – Escola Municipal Dr. Irineu de Pontes</t>
  </si>
  <si>
    <t xml:space="preserve">Comunicação de recebimentos de mercadoria </t>
  </si>
  <si>
    <t>Solicita contrato de Natália Joseane da Silva e Encaminha docs</t>
  </si>
  <si>
    <t>Encaminha relação de Servidores Campanha IPTU 2025</t>
  </si>
  <si>
    <t>Solicita exoneração de Ana Cláudia Barros Barreto e pede substituto</t>
  </si>
  <si>
    <t>Solicita Brinde para campeonado dos bairros (futsal)</t>
  </si>
  <si>
    <t>Secretaria de Cultura, Turismo e Lazer</t>
  </si>
  <si>
    <t>Encaminha DFD - Materiais Gráficos - Campeonato dos Bairros de FUTSAL</t>
  </si>
  <si>
    <t>Encaminha Nota Fiscal para pagamento - VDL Gráfica</t>
  </si>
  <si>
    <t>Solicitação Pagamento de custas Cartorarias - Escola Municipal São Joaquim</t>
  </si>
  <si>
    <t>Solicita a contratação de Monitora para VAN Escolar</t>
  </si>
  <si>
    <t xml:space="preserve">Encaminha Conta Neoenergia Creche Santa Terezinha </t>
  </si>
  <si>
    <t>Solicita transporte inclusivo</t>
  </si>
  <si>
    <t>Escola São José</t>
  </si>
  <si>
    <t xml:space="preserve">Oficinas de bonecos </t>
  </si>
  <si>
    <t>PROGRAMAÇÃO DESFILE DIA 21.09 E 28.09</t>
  </si>
  <si>
    <t>Solicita palco para os desfiles do Bairro Novo e Caraúba</t>
  </si>
  <si>
    <t>Solicita isolamento das vias e guarda para os desfiles do Bairro Novo e Caraúba</t>
  </si>
  <si>
    <t>Altarquia de Trânsito</t>
  </si>
  <si>
    <t>Solicita limpeza e iluminação para os desfiles do Bairro Novo e Caraúba</t>
  </si>
  <si>
    <t>Secretaria de Serviços Urbanos</t>
  </si>
  <si>
    <t>Solicitação de impressão das avaliações CNCA Ciclo III para os Anos Iniciais da Rede</t>
  </si>
  <si>
    <t>Luzinete</t>
  </si>
  <si>
    <t>Solicita contrato de Maria Adriana da Silva e encaminha docs</t>
  </si>
  <si>
    <t>Solicita bloqueio de salário de Maria Verônica de Lira Santos e Maria do Carmo de Freitas Santana</t>
  </si>
  <si>
    <t>Solicita retirada de gratificação de Josias Ferreira de Lima</t>
  </si>
  <si>
    <t>Solicita alteração de função de Anaglecia Chagas do Nascimento</t>
  </si>
  <si>
    <t>Solicita contratação de Cuidador para a aluna Mariana Tomaz da Silva</t>
  </si>
  <si>
    <t>Resposta ao ofício 02207.000.221/2025-0006</t>
  </si>
  <si>
    <t>Solicita contrato de Jessica Kaene de Brito Soares de Lima e encaminha docs</t>
  </si>
  <si>
    <t>Encaminha Conta de Energia Coletiva - Vencimento 22/09</t>
  </si>
  <si>
    <t>Encaminha Nota Fiscal - CWC Distribuidora - Contrato nº 072/2025</t>
  </si>
  <si>
    <t>Encaminha Nota Fiscal - Pneu 10 - Contrato nº 075/2025</t>
  </si>
  <si>
    <t>Encaminha Nota Fiscal - GPB Soluções - Contrato nº 068/2025</t>
  </si>
  <si>
    <t>Solicitação do Pagamento do Terço de férias dos servidores da SEE</t>
  </si>
  <si>
    <t>Solicita gratificação de Lara Solange da Silva</t>
  </si>
  <si>
    <t>Encaminha Custas Cartorárias Conselho Escolar Ernesto Ribeiro</t>
  </si>
  <si>
    <t>Encaminha Frequência da primeira quinzena de Setembro</t>
  </si>
  <si>
    <t>Solicita contrato de Alcione Roberta Farias e encaminha docs</t>
  </si>
  <si>
    <t>Solicita Material de Limpeza - JMS</t>
  </si>
  <si>
    <t>Resposta ao Ofício nº 02208.000.321/2025-0004</t>
  </si>
  <si>
    <t>Encaminha solicitação de Licença Premio e portarias (Maria Francisca, Adelma e José Erivaldo)</t>
  </si>
  <si>
    <t>Correção de contracheques</t>
  </si>
  <si>
    <t xml:space="preserve">Encaminha NF para pagamento CJ Construções </t>
  </si>
  <si>
    <t>Contratação servidores - Escolinha de Esportes</t>
  </si>
  <si>
    <t>Relação de número de série dos medidores de energia elétrica das escolas</t>
  </si>
  <si>
    <t xml:space="preserve">Encaminha NF para pagamento JMS Empreendimentos Eireli </t>
  </si>
  <si>
    <t>Encaminha Conta Neoenergia Casa Rosa</t>
  </si>
  <si>
    <t>Solicita ordem de fornecimento de fraldas descartáveis</t>
  </si>
  <si>
    <t>Solicito a disponibilização de um locutor Desfile dia 21/09</t>
  </si>
  <si>
    <t>Solicito a disponibilização de um locutor Desfile dia 28/09</t>
  </si>
  <si>
    <t>Solicita transporte para alunos  - Dia da árvore - Reflorestando Carpina</t>
  </si>
  <si>
    <t>Setor de Transportes</t>
  </si>
  <si>
    <t>Tallita</t>
  </si>
  <si>
    <t xml:space="preserve">Solicita Providências para reparos no ônibus - Frota </t>
  </si>
  <si>
    <t>Resposta a Ofício solicitando presença de alunos e banner</t>
  </si>
  <si>
    <t>Movimento Reflorestando Carpina</t>
  </si>
  <si>
    <t>Solicitação Guarda Municipal no Evento I Circuito Conexoes Artesanais</t>
  </si>
  <si>
    <t>Solicitação Limpeza no palhoção no Evento I Circuito Conexoes Artesanais</t>
  </si>
  <si>
    <t>Solicitação Reletores e Gambiarras no Evento I Circuito Conexoes Artesanais</t>
  </si>
  <si>
    <t>Solicitação PM no Evento I Circuito Conexoes Artesanais</t>
  </si>
  <si>
    <t xml:space="preserve">Policia Militar de Carpina </t>
  </si>
  <si>
    <t>Solicita itens para Oficina de Carrinho</t>
  </si>
  <si>
    <t>Ana Christine</t>
  </si>
  <si>
    <t>Solicita resposta ao MPF Oficio 5205/PRPE</t>
  </si>
  <si>
    <t>Solicita Motorista para a Spin a ser lotado na SEE</t>
  </si>
  <si>
    <t>Encaminha NF TABS ASSESSORIA CONTABIL</t>
  </si>
  <si>
    <t>Solicita alteração de função de Janaina Cristina da Silva</t>
  </si>
  <si>
    <t>Solicita alteração de função de Vanessa Oliveira da Silva</t>
  </si>
  <si>
    <t>Solicita ampliação de jornada de trabalho de Letícia da Silva Souza</t>
  </si>
  <si>
    <t>Informa sobre a reprovação de Reginaldo José do Nascimento no teste de motorista e solicita outro</t>
  </si>
  <si>
    <t>Solicita restituição de desconto indevido de Rosangela Felipe Ferreira de Moura</t>
  </si>
  <si>
    <t>Solicita restituição de desconto indevido de Maria Elizabete da Cruz Lima</t>
  </si>
  <si>
    <t xml:space="preserve">Encaminha frequência da primeira quinzena de setembro </t>
  </si>
  <si>
    <t>Solicita revogação de processo administrativo nº 11/2025 - Exito Licitações</t>
  </si>
  <si>
    <t>Solicita revogação de processo administrativo nº 15/2025 - Market</t>
  </si>
  <si>
    <t>Solicita revogação de processo administrativo nº 13/2025 - FL Comércio</t>
  </si>
  <si>
    <t>Solicita apoio da Saúde no Evento Evento I Circuito Conexoes Artesanais</t>
  </si>
  <si>
    <t>Secretaria de Saúde</t>
  </si>
  <si>
    <t>Solicita confecção de carimbos</t>
  </si>
  <si>
    <t>Solicita apoio da Saúde no desfile Civico Carauba Torta</t>
  </si>
  <si>
    <t>Encaminha Notas Fiscais AUTOBELO - Revisão Veicular - Peças</t>
  </si>
  <si>
    <t>Encaminha Notas Fiscais AUTOBELO - Revisão Veicular - Serviços</t>
  </si>
  <si>
    <t>Esclarecimento para Procurador sobre regularização Creches Manoel Amaro e Mª Izidoro</t>
  </si>
  <si>
    <t>Procuradoria do Município</t>
  </si>
  <si>
    <t xml:space="preserve">Encaminha Nota Fiscal Aurora Comércio </t>
  </si>
  <si>
    <t>Encaminha dados das Obras das Creches Maria Izidoro/Manoel Amaro</t>
  </si>
  <si>
    <t>Encaminha requerimento de férias do servidor Gustavo</t>
  </si>
  <si>
    <t>Encaminha requerimento de solicitação de correção de contracheque (Jacira)</t>
  </si>
  <si>
    <t>Solicita substituição de borrachas para atualização de informações nos carimbos</t>
  </si>
  <si>
    <t>Encaminha documento de formalização de demanda - Provas CNCA</t>
  </si>
  <si>
    <t xml:space="preserve">Encaminha conta COMPESA - CEI SANTANA </t>
  </si>
  <si>
    <t>Solicita contrato de Maria Eduarda Rodrigues Pereira de Jesus e encaminha docs</t>
  </si>
  <si>
    <t>Encaminha Resposta ao MPF Resposta ao Ofício nº 5205/2025/PRPE/4° OFÍCIO</t>
  </si>
  <si>
    <t>Ministerio Público Federal</t>
  </si>
  <si>
    <t>Solicita confecção do carimbo da Escola CEI Petribú</t>
  </si>
  <si>
    <t>Encaminha NF RB COMBUSTIVEL</t>
  </si>
  <si>
    <t>Encaminha requerimento de solicitação de salário família do servidor Hygor Oliveira</t>
  </si>
  <si>
    <t>Encaminha solicitação de reparos urgentes no Ernesto Ribeiro</t>
  </si>
  <si>
    <t>Encaminha resposta sobre o pleito feito ao FNDE</t>
  </si>
  <si>
    <t>Secretaria de Planejamento e Gestão</t>
  </si>
  <si>
    <t>Solicita alteração de contrato de Sonia Cristina Cordeiro de Vasconcelos</t>
  </si>
  <si>
    <t>Solicita contrato de Amystesson Shunak de Assis e encaminha docs</t>
  </si>
  <si>
    <t>Solicita retirada de gratificação de Susy Karla Pereira Barbosa da Hora</t>
  </si>
  <si>
    <t>Solicita Prorrogação de Prazo - Contrato nº023/2025 -KUTZ</t>
  </si>
  <si>
    <t>Encaminha NF Cooperativa Mista Sao Lourenço da Mata</t>
  </si>
  <si>
    <t>Encaminha NF Cooperativa Mista Trabalhadores Rurais</t>
  </si>
  <si>
    <t xml:space="preserve">Encaminha NF George Alexandre Dias  - Internet </t>
  </si>
  <si>
    <t>Encaminha NF Movéis Kutz</t>
  </si>
  <si>
    <t>Solicita desbloqueio de salário de Maria do Carmo de Freitas Santana</t>
  </si>
  <si>
    <t>Encaminha planilha de servidores que estão de licença prêmio e solicita portarias</t>
  </si>
  <si>
    <t>Solicita um monitor de banheiro para a Escola Marechal Rondon</t>
  </si>
  <si>
    <t>Solicita dois monitores de prédio para a Escola Pio X</t>
  </si>
  <si>
    <t>Solicita uma professora polivalente para a turma da Creche 3 da Creche Brena Raysa</t>
  </si>
  <si>
    <t>Encaminha Custas Cartorárias Conselho Escolar Châ do Meio</t>
  </si>
  <si>
    <t>Encaminha requerimentos para pagamento de terço de férias</t>
  </si>
  <si>
    <t>Solicita confecção de carimbos secretarias</t>
  </si>
  <si>
    <t>Solicita exoneração de Luiz Cesar de Souza Lima</t>
  </si>
  <si>
    <t>Solicitação de carimbos para a SEE</t>
  </si>
  <si>
    <t>Encaminha lotação dos professores efetivos que tomaram possem em 25/09/2025</t>
  </si>
  <si>
    <t>Solicita alteração de contrato de Graziely Maria da Silva</t>
  </si>
  <si>
    <t>Solicita professor de História para a Escola Municipal Ernesto Ribeiro</t>
  </si>
  <si>
    <t>Encaminhamento dos requerimentos de licença para arquivamento na pasta do servidor</t>
  </si>
  <si>
    <t>Encaminhamento de licença premio de servidor e solicitação de portaria</t>
  </si>
  <si>
    <t>Solicitação de troca de borracha de carimbo</t>
  </si>
  <si>
    <t>Solicitação do pagamento do terço de férias de Fábio Rogério</t>
  </si>
  <si>
    <t>Solicita uma merendeira para a Escola Eliane Carneiro em Caráter de urgência</t>
  </si>
  <si>
    <t>Encaminha Nota Fiscal para Pagamento - Instrutores da Banda</t>
  </si>
  <si>
    <t>Solicitação de providências para pagamento de músicos – I CICART 2025</t>
  </si>
  <si>
    <t>Encaminha escolas que necessitam melhorias infraestruturais</t>
  </si>
  <si>
    <t>Solicita a retirada de 01 Aparelho de Ar condicionado - Centro de Distribuição Merenda</t>
  </si>
  <si>
    <t>Solicita a retirada de 03 Ventiladores - Centro de Distribuição Merenda</t>
  </si>
  <si>
    <t>Solicita a instalaçao de 03 ventiladores e 01 ar condicionado - Centro de distribuição merenda</t>
  </si>
  <si>
    <t>Solicita Vigilante para a Escola Municipal Pio X</t>
  </si>
  <si>
    <t xml:space="preserve">Solicita Material de Limpeza </t>
  </si>
  <si>
    <t>Planilha de equipamentos a serem adquiridos ETI - Eliane e Brena Raysa</t>
  </si>
  <si>
    <t>Solicita designação de nutricionista para a SEE</t>
  </si>
  <si>
    <t>Encaminha Of Circular Banco do Brasil Regras de movimentação financeira das contas do Fundeb.</t>
  </si>
  <si>
    <t>Responde ao ofício de solicitação de transpote - desfile de Lagoa do Carro - Pio X</t>
  </si>
  <si>
    <t>Escola Pio X</t>
  </si>
  <si>
    <t>Responde ao ofício de solicitação de transpote - desfile de Lagoa do Carro - Santa Ana</t>
  </si>
  <si>
    <t>Escola Santa Ana</t>
  </si>
  <si>
    <t>Responde ao ofício de solicitação de transpote - desfile de Lagoa do Carro - Eliane Carneiro</t>
  </si>
  <si>
    <t>Escola Eliane Carneiro</t>
  </si>
  <si>
    <t>Responde ao ofício de solicitação de transpote - desfile de Lagoa do Carro - Mínima de Florestinha</t>
  </si>
  <si>
    <t>Escola Mínima de Florestinha</t>
  </si>
  <si>
    <t>Responde ao ofício de solicitação de transpote - Parque 02 irmãos - Santa Ana</t>
  </si>
  <si>
    <t>Solicita Pagamento das ART- da reforma e ampliação da Es Chã do Meio</t>
  </si>
  <si>
    <t>Encaminha NF RECICOM Nota Fiscais 117 e 118</t>
  </si>
  <si>
    <t>Encaminha NF RECICOM Notas Fiscais 121 e 122</t>
  </si>
  <si>
    <t>Responde ao ofício solicitando matrícula de crianças</t>
  </si>
  <si>
    <t>Centro de Referência Especializado de Assistência Social - CREAS</t>
  </si>
  <si>
    <t xml:space="preserve">Encaminha Demanda para aquisição de Absorventes </t>
  </si>
  <si>
    <t>Encaminha conta COMPESA SEE</t>
  </si>
  <si>
    <t>Encaminha Conta COMPESA CASA ROSA</t>
  </si>
  <si>
    <t>Solicita exoneração de José Atamir dos Santos</t>
  </si>
  <si>
    <t>Solicita contrato de Claudionora da Silva Lima e encaminha docs</t>
  </si>
  <si>
    <t>Solicita contrato de Katia Travassos da Silva e encaminha docs</t>
  </si>
  <si>
    <t>Solicita exoneração de Raquel Suélen da Silva Lima Santos e substituição</t>
  </si>
  <si>
    <t>Solicita exoneração de Andreza Geovania Xavier de Lima e substituição</t>
  </si>
  <si>
    <t>Solicita averiguação com o jurídico sobre atestados recorrentes de cuidadores</t>
  </si>
  <si>
    <t>Solicita providências quanto ao relatorio de ocorrencia Escola Rondom</t>
  </si>
  <si>
    <t>Informa dotação orçamentária - Quadras</t>
  </si>
  <si>
    <t>Informa dotação orçamentária - Ernestro</t>
  </si>
  <si>
    <t>Informa dotação orçamentária - Chã do Meio</t>
  </si>
  <si>
    <t>Solicita contrato temporário para licença médica de Jacilene Josefa de Lima</t>
  </si>
  <si>
    <t>Resposta ao ofício 02208.000.324/2025-0003 Yasmim Pamella</t>
  </si>
  <si>
    <t>Resposta ao ofício 02208.000.336/2025-0004 - Enzo Gabriel</t>
  </si>
  <si>
    <t>Encaminha Nota Fiscal para pagamento Meneses &amp; Andrade Decorações Ltda</t>
  </si>
  <si>
    <t>Solicita pessoa para preencher vaga de José Atamir dos Santos</t>
  </si>
  <si>
    <t>Resposta ao ofício 5441/2025 PRPE - MPF</t>
  </si>
  <si>
    <t>Resposta ao Ofício 02/2025 -CME</t>
  </si>
  <si>
    <t>Presidente CAE/CME</t>
  </si>
  <si>
    <t>Encaminha conta Compesa depósito de Merenda</t>
  </si>
  <si>
    <t>Encaminha Nota Fiscal SF Campos</t>
  </si>
  <si>
    <t>Encaminha Nota Fiscal Cooperativa Mista - São Lourenço</t>
  </si>
  <si>
    <t>Aluguel de Imóvel Luna Filho - Rancho do Himalaia</t>
  </si>
  <si>
    <t>Aluguel de Imóvel Luna Filho - Loja Maçonica</t>
  </si>
  <si>
    <t>Aluguel de Imóvel São Joaquim - Carauba</t>
  </si>
  <si>
    <t xml:space="preserve">Aluguel de Imóvel Madre Virginia </t>
  </si>
  <si>
    <t>Aluguel de Imóvel CEI SANTA ANA OLHO DÁGUA</t>
  </si>
  <si>
    <t>Aluguel de Imóvel Deposito de Merenda</t>
  </si>
  <si>
    <t>Aluguel de Imovel Quadra Caraúba</t>
  </si>
  <si>
    <t>Aluguel de Imóvel Casa Rosa</t>
  </si>
  <si>
    <t>Aluguel de Imovel SEE</t>
  </si>
  <si>
    <t>Aluguel de Imóvel CEI PETRIBU</t>
  </si>
  <si>
    <t>Aluguel de Imóvel Programa Amor</t>
  </si>
  <si>
    <t>Aluguel de Imóvel PIO X</t>
  </si>
  <si>
    <t>Aluguel de Imóvel Nova Santa Cruz</t>
  </si>
  <si>
    <t>Encaminha demanda para aquisição de instrumentos musicais</t>
  </si>
  <si>
    <t>Solicitação de posicionamento urgente sobre o Ofício 225/25</t>
  </si>
  <si>
    <t>Promotoria de Justiça do Carpina</t>
  </si>
  <si>
    <t>Encaminha Notas Fiscais - Autoforte - Peças</t>
  </si>
  <si>
    <t>Encaminha Notas Fiscais - Autoforte - Serviços</t>
  </si>
  <si>
    <t>Solicita aquisição de máquina para corte de grama</t>
  </si>
  <si>
    <t>Encaminha Fatura VOAR TURISMO</t>
  </si>
  <si>
    <t>Encaminha Nota Fiscal - Cooperativa Carpina</t>
  </si>
  <si>
    <t>Solicitação de confecção de carimbos de secretários escolares</t>
  </si>
  <si>
    <t>Solicitação de confecção de carimbos diversos para o Programa Amor</t>
  </si>
  <si>
    <t>Solicita a realização de aulões preparatórios</t>
  </si>
  <si>
    <t>Encaminha Conta Compesa Sta Teresinha</t>
  </si>
  <si>
    <t>Encaminha Solicitação de Toldo - Es Programa Amor</t>
  </si>
  <si>
    <t>Encaminha conta Neoenergia PIO X</t>
  </si>
  <si>
    <t>Solicita exoneração de Maria Viviane Alves de Oliveira Ramos Santana e pede substituto</t>
  </si>
  <si>
    <t>Solicita retirada do estágio probatório (Vaneide e Severino)</t>
  </si>
  <si>
    <t>Solicita exoneração de Thaylline Evelyn da Silva e pede substituto</t>
  </si>
  <si>
    <t>Encaminha Neoenergia Deposito de Merenda</t>
  </si>
  <si>
    <t>Solicitação de progressão funcional de servidores efetivos</t>
  </si>
  <si>
    <t>Solicita uma ambulância nas rodadas de campeonato dos bairros</t>
  </si>
  <si>
    <t>Solicita a presença da Guarda Municipal nas rodadas de campeonato dos bairros</t>
  </si>
  <si>
    <t xml:space="preserve">Autarquia de Trânsito </t>
  </si>
  <si>
    <t>Solicita som e locutor para as rodadas de campeonato dos bairros</t>
  </si>
  <si>
    <t>Encaminha Nota Fiscal para pagamento - BSR Atacado</t>
  </si>
  <si>
    <t>Ofício convite para as escolas estaduais e privadas para o cursinho ENEM</t>
  </si>
  <si>
    <t>Autorização presença da Passaporte Edu nas Escolas</t>
  </si>
  <si>
    <t>Passaporte Edu</t>
  </si>
  <si>
    <t>Encaminha Nota Fiscal para pagamento - REAL Alimentos</t>
  </si>
  <si>
    <t>Encaminha Nota Fiscal para pagamento - Lázaro Silva de Santana</t>
  </si>
  <si>
    <t>Encaminha Nota Fiscal para pagamento - TABS - Gestão da Folha</t>
  </si>
  <si>
    <t>Encaminha comunicado para as mídias sociais</t>
  </si>
  <si>
    <t>Encaminha Nota Fiscal para pagamento - TABS - Assessoria Contábil</t>
  </si>
  <si>
    <t>Solicita espaço do CETREINO para Capacitação com Profissionais das escolas de tempo integral</t>
  </si>
  <si>
    <t>CETREINO</t>
  </si>
  <si>
    <t>Solicita a alteração de contrato de Dulce Alves Bezerra Mendes Vieira de Melo</t>
  </si>
  <si>
    <t>Solicita retirada da assistencia financeira de Susy Karla Pereira Barbosa da Hora</t>
  </si>
  <si>
    <t>Encaminha DFD - Aquisição de Material de Limpeza</t>
  </si>
  <si>
    <t>Encaminha DFD - Aquisição de Material de Expediente</t>
  </si>
  <si>
    <t>Solicita a exoneração de Renata Roberta da Conceição</t>
  </si>
  <si>
    <t>Encaminha DFD ETP e TR - Formação Corpo Escolar de Tempo Integral</t>
  </si>
  <si>
    <t>Solicita um ASG para a Escola Mínima Florestinha</t>
  </si>
  <si>
    <t>Solicita ordem de fornecimento de Registro de Fogão Industrial</t>
  </si>
  <si>
    <t>Solicita ordem de fornecimento de geladeira</t>
  </si>
  <si>
    <t>Solicita ordem de fornecimento de Liqudificador Industrial 10L</t>
  </si>
  <si>
    <t>Solicita aquisião de Cortador de Gramas</t>
  </si>
  <si>
    <t>Solicita ordem de fornecimento de Liqudificador Industrial 08L</t>
  </si>
  <si>
    <t>Solicita fornecimento de Fogão Industrial</t>
  </si>
  <si>
    <t>Solicita um ASG para a Escola Municipal Bela Vista</t>
  </si>
  <si>
    <t>Encaminha relatório de Jairo George Vasconcelos Cabral</t>
  </si>
  <si>
    <t>Solicita exoneração de Talita Fernanda Ferreira de Lira e pede substituta</t>
  </si>
  <si>
    <t>Solicita uma merendeira para a Escola Municipal Bela Vista</t>
  </si>
  <si>
    <t>Solicita exoneração de Livania Vasconcelos da Silva e pede substituta</t>
  </si>
  <si>
    <t>Solicita professor substituto para Milka Oliveira dos Santos</t>
  </si>
  <si>
    <t>Encaminha Nota Fiscal para pagamento de serviços de revitalização de veículos</t>
  </si>
  <si>
    <t>Encaminha Ofício Escola Pastor Manoel Amaro - Vistoria Elétrica</t>
  </si>
  <si>
    <t>Encaminha ofício nº 02207.000.277/2025-0001</t>
  </si>
  <si>
    <t>Encaminha Nota Fiscal para pagamento - ART LIM Material de Limpeza</t>
  </si>
  <si>
    <t>Encaminha Nota Fiscal para pagamento - ART LIM Gêneros Alimentícios</t>
  </si>
  <si>
    <t xml:space="preserve">Encaminha conta COMPESA CEI SANTA  ANA </t>
  </si>
  <si>
    <t>Confecção carimbo Maria Anunciada</t>
  </si>
  <si>
    <t>Encaminha Nota Fiscal para pagamento - DM COMERCIAL</t>
  </si>
  <si>
    <t>Resposta ao ofício 12/2025 do Gabinete do Vereador Dr. Paulo Fernando</t>
  </si>
  <si>
    <t>Gabinete do Vereador Dr. Paulo Fernando</t>
  </si>
  <si>
    <t>Encaminha Nota Fiscal para pagamento - VTA MACHADO</t>
  </si>
  <si>
    <t>Encaminha as placas dos veículos que fazem a rota das escolas integrais</t>
  </si>
  <si>
    <t>Solicita preenchimento da planilha de controle de frota</t>
  </si>
  <si>
    <t>Solicita a instalação de Ventiladores nas Escolas</t>
  </si>
  <si>
    <t>Solicita retirada de Ventiladores para instalação</t>
  </si>
  <si>
    <t>Solicita gratificação para nutricionista Emerson Wanderson Pereira</t>
  </si>
  <si>
    <t>Solicita exoneração de Adriana Maria Rufino e pede substituto</t>
  </si>
  <si>
    <t>Solicita ambulância</t>
  </si>
  <si>
    <t>Solicita Guarda Municipal</t>
  </si>
  <si>
    <t>Solicita gratificação de Weverton Emanoel Barbosa Rodrigues e Jeciel Patrício de Queiroz</t>
  </si>
  <si>
    <t>Solicita a instalação de Ar Condicionados nas Escolas</t>
  </si>
  <si>
    <t>Encaminha IPTU da Escola Joaquim Pinto Lapa para providências</t>
  </si>
  <si>
    <t>Encaminha boleto do cartório para pagamento de certidão negativa da escola Joaquim Pinto Lapa</t>
  </si>
  <si>
    <t>Solicita documentação para formalização de capacitação IAUPE</t>
  </si>
  <si>
    <t>IAUPE</t>
  </si>
  <si>
    <t>Solicita realização de serviços de manutenção nas escolas</t>
  </si>
  <si>
    <t>Solicita realização de serviços de dedetização nas escolas</t>
  </si>
  <si>
    <t>Solicita a limpeza da Fossa Séptica - Escola Irineu de Pontes</t>
  </si>
  <si>
    <t>Informa dotação e gestor de contrato - subestações</t>
  </si>
  <si>
    <t>Indicação de Servidor para atuar como mobilizador - Selo Unicef</t>
  </si>
  <si>
    <t>Encaminha documentação dos motoristas entregue pelo CIRETRAN Carpina</t>
  </si>
  <si>
    <t>Solicita um ASG para a garagem dos ônibus da Educação</t>
  </si>
  <si>
    <t>Encaminha custas cartorarias da Escola Municipal Sofia Adelina</t>
  </si>
  <si>
    <t>Solicita exoneração dos Instrutores de Banda contratados através do ofício 1168/2025</t>
  </si>
  <si>
    <t>Solicita contrato de Ana Lúcia de Vasconcelos Sarnento e encaminha docs</t>
  </si>
  <si>
    <t>Solicita pagamento do terço de servidores</t>
  </si>
  <si>
    <t>Encaminha NF RB Combustíveis</t>
  </si>
  <si>
    <t>Solicita contrato de Lucivânia Maria de Oliveira e encaminha docs</t>
  </si>
  <si>
    <t>Solicita contrato de Paulo Gildo Gomes e encaminha docs</t>
  </si>
  <si>
    <t>Solicita contrato de Patrícia Maria Cintra da Silva e encaminha docs</t>
  </si>
  <si>
    <t>Solicita contrato de Elvis Brasilino Félix e encaminha docs</t>
  </si>
  <si>
    <t>Solicita contrato de Flávia Caroliny de Lima e encaminha docs</t>
  </si>
  <si>
    <t>Solicita contrato de Taciana Ferreira do Nascimento Lima e encaminha docs</t>
  </si>
  <si>
    <t>Encaminha ofício 0092/2025 da Escola Joaquim Pinto Lapa para providências</t>
  </si>
  <si>
    <t>Encaminha relação de Gestor e Fiscal de Contratos Administrativos</t>
  </si>
  <si>
    <t>Resposta ao ofício OMG nº 230/2025</t>
  </si>
  <si>
    <t>Ouvidoria</t>
  </si>
  <si>
    <t>Solicita documentação e proposta orçamentária para o Projeto de Educação Financeira</t>
  </si>
  <si>
    <t>SSB Editora</t>
  </si>
  <si>
    <t>Solicita documentação e proposta orçamentária para o Projeto Pedagógico Lógico Primo</t>
  </si>
  <si>
    <t>PAE Editora</t>
  </si>
  <si>
    <t>Solicita documentação e proposta orçamentária para o Programa de Desenvolvimento Cognitivo</t>
  </si>
  <si>
    <t>COGNVOX</t>
  </si>
  <si>
    <t>Solicita contrato de Almir José de Souza Junior e encaminha docs</t>
  </si>
  <si>
    <t>Encaminha conta NEOENERGIA CEI SANTANA</t>
  </si>
  <si>
    <t>Solicita o espaço do CETREINO para formação do Programa Criança Alfabetizada</t>
  </si>
  <si>
    <t>Encaminha  conta NEOENERGIA Santa Terezinha</t>
  </si>
  <si>
    <t>Encaminha solicitação Toldo Es Programa Amor</t>
  </si>
  <si>
    <t>Neoenergia Secretária de Educação</t>
  </si>
  <si>
    <t xml:space="preserve">Encaminha NFNóbrega Comércio </t>
  </si>
  <si>
    <t>Encaminha IPTU das Escolas para providências</t>
  </si>
  <si>
    <t>Encaminha NF REAL Alimentos</t>
  </si>
  <si>
    <t>Encaminha NF BSR Atacado LTDA</t>
  </si>
  <si>
    <t>Encaminha NFJOSELICE DA HORA</t>
  </si>
  <si>
    <t>Solicita uma ambulância para o Ginásio Municipal</t>
  </si>
  <si>
    <t>Solicita uma viatura para o Ginásio Municipal</t>
  </si>
  <si>
    <t>Solicita compra de materiais para reparo de bomba do Estádio Municipal</t>
  </si>
  <si>
    <t xml:space="preserve">Encaminha NF Novo Prado </t>
  </si>
  <si>
    <t xml:space="preserve">Encaminha lista de servidores que estão de licença premio, e solicita portarias </t>
  </si>
  <si>
    <t>Encaminha NF 2001</t>
  </si>
  <si>
    <t>Encaminha NF GIRASSOL</t>
  </si>
  <si>
    <t>Solicita contrato de Cinthia Virginia de Souza Oliveira e encaminha docs</t>
  </si>
  <si>
    <t>Encaminha posicionamento para providências em relação ao realinhamento de preço - SF Campos Comércio LTDA</t>
  </si>
  <si>
    <t xml:space="preserve">Encaminha NF COPA LOCAÇÕES </t>
  </si>
  <si>
    <t>Solicita contrato de Elaine Maria Teobaldo e encaminha docs</t>
  </si>
  <si>
    <t>Solicita alteração no porte dos gestores e coordenadores</t>
  </si>
  <si>
    <t>Informa sobre a desistência de Reginaldo Araújo dos aulões preparatórios e indica Odila Luciana Cavalcante da Silva</t>
  </si>
  <si>
    <t>Solicita fornecimento de Garrafões de àgua mineral - contrato nº 092/2025</t>
  </si>
  <si>
    <t>Solicita fornecimento de Papel Ofíciol - contrato nº 089/2025</t>
  </si>
  <si>
    <t>Solicita contrato de Osvaldo Sabino dos Santos e encaminha docs</t>
  </si>
  <si>
    <t>Solicita concessão de licença premio para servidora em processo de aposentadoria</t>
  </si>
  <si>
    <t>Solicita a publicação de portaria de substituição de Polly Anne no CAE</t>
  </si>
  <si>
    <t>Solicita a publicação de portaria de substituição de Polly Anne no CME</t>
  </si>
  <si>
    <t>Solicitação de confirmação e verificação de autenticidade de atestados médicos</t>
  </si>
  <si>
    <t xml:space="preserve">Encaminha NF ART LIMP - Alimentos </t>
  </si>
  <si>
    <t>Encaminha NF Rodrigues Comercio - Alimentos</t>
  </si>
  <si>
    <t>Solicita formalização de Contrato para fornecimento de PNEUS - PNEU 10</t>
  </si>
  <si>
    <t>Encaminha DFD - Equipamentos CAEE - Ajustado</t>
  </si>
  <si>
    <t>Solicita reserva do auditório da prefeitura para treinamento de aplicadores do SAEB</t>
  </si>
  <si>
    <t>Solicita Toldo Es. CEI PETRIBU</t>
  </si>
  <si>
    <t>Solicita uma merendeira par a Escola Municipal Sofia Adelina</t>
  </si>
  <si>
    <t>Encaminha Frequência escolares referente ao mês de setembro</t>
  </si>
  <si>
    <t>Solicita uma merendeira par o Centro Social Santa Ana</t>
  </si>
  <si>
    <t>Solicita contrato de Nicolas Wendell Lima da Silva e encaminha docs</t>
  </si>
  <si>
    <t>Encaminha solicitação de Progressão funcional Brawowisky</t>
  </si>
  <si>
    <t>Encaminha solicitações de progressão funcional servidores efetivos</t>
  </si>
  <si>
    <t xml:space="preserve">Encaminha resposta ao Ofício 02207.000.278/2025 -0001 </t>
  </si>
  <si>
    <t>Resposta ao protocolo 202510021310041 - David Alex da Silva</t>
  </si>
  <si>
    <t>Resposta ao protocolo 202510011310051 - Michelle Teodosio Soares Ribeiro da Silva</t>
  </si>
  <si>
    <t>Resposta ao protocolo 202510031910581 - Jaqueline Gomes de Souza Silva</t>
  </si>
  <si>
    <t>Resposta à CI 0446/2025 - GP</t>
  </si>
  <si>
    <t>Solicita restituição de desconto de Jéssica Emília Duarte</t>
  </si>
  <si>
    <t>Solicita ampliação de jornada de Maria Clara Trindade de Lima</t>
  </si>
  <si>
    <t>Solicita análise e providências sobre caso de Dallyne Rafaelle Cordeiro de Miranda Luna</t>
  </si>
  <si>
    <t>Encaminha Resposta a Procuradoria sobre INEP da Creche Mª Izidoro</t>
  </si>
  <si>
    <t>Solicita Alteração de contrato de Maria de Lourdes de Santana</t>
  </si>
  <si>
    <t xml:space="preserve">Resposta OF 5441/2025/PRPE </t>
  </si>
  <si>
    <t>solicitação de transporte para os alunos realizarem a Olímpiada de Matemática</t>
  </si>
  <si>
    <t>Solicitação de documento de terrenos das Creches Maria Izidoro e Manoel Amaro</t>
  </si>
  <si>
    <t>Encaminha e pede providências Multa de Trânsito Veículo SOB4J19</t>
  </si>
  <si>
    <t>Secretaria de Educação do Estado de PE</t>
  </si>
  <si>
    <t>Solicita Termo aditivo ao contrato nº 022/2025 - Dedetização</t>
  </si>
  <si>
    <t>Solicita motorista para a rota UFPE nos turnos tarde-noite</t>
  </si>
  <si>
    <t>Solicita aumento na gratificação de Edson dos Santos Albuquerque</t>
  </si>
  <si>
    <t>Solicita indicação de porteiros para Escolas Pio X e Nova Santa Cruz</t>
  </si>
  <si>
    <t>Solicita documentação de formalização do IAUPE para Mostra Pedagógica</t>
  </si>
  <si>
    <t>Resposta ao Ofício nº 234/2025</t>
  </si>
  <si>
    <t>Solicita pagamento de terço de férias - Gustavo, Edson, Lucia Valquiria e Aldecy</t>
  </si>
  <si>
    <t>Resposta à CI 0465/2025 - Lotação de servidores da Autarquia de Trânsito</t>
  </si>
  <si>
    <t>Encaminha DFD - COGNVOX</t>
  </si>
  <si>
    <t>Providencias IPTU Nova Santa Cruz</t>
  </si>
  <si>
    <t>Encaminha COMPESA CEI SANTANA</t>
  </si>
  <si>
    <t xml:space="preserve">Solicitação de pagamento de custas Cartorárias – Conselho Escolar Marechal Rondon </t>
  </si>
  <si>
    <t>Encaminha NF para pagamento - Provas CNCA</t>
  </si>
  <si>
    <t>Responde oficio nº 577 - Secretaria da Mulher</t>
  </si>
  <si>
    <t>Secretaria da Mulher</t>
  </si>
  <si>
    <t>Responde Ofício nº 426 - Infraestrututa - Dotação Nsra Aparecida</t>
  </si>
  <si>
    <t xml:space="preserve">Encaminha NF Aurora Comercio - Água Mineral  </t>
  </si>
  <si>
    <t xml:space="preserve">Encaminha NF Associação Santo Agostinho </t>
  </si>
  <si>
    <t>Encaminha NF Cooperativa Mista dos Trab Rurais de São Lourenço</t>
  </si>
  <si>
    <t>Encaminha NF Kero Industria de Panificação</t>
  </si>
  <si>
    <t xml:space="preserve">Encaminha NF ART LIMP - Papel Ofício </t>
  </si>
  <si>
    <t>Encaminha NF FUTURIT COMERCIO LTDA</t>
  </si>
  <si>
    <t xml:space="preserve">Encaminha NF S A de OLIVEIRA  LICITAÇOES </t>
  </si>
  <si>
    <t xml:space="preserve">Encaminha Neoenergia Casa Rosa </t>
  </si>
  <si>
    <t>Encaminha NF JMS Material de Limpeza</t>
  </si>
  <si>
    <t>Encaminha Conta Compesa Centro Social Santa Ana</t>
  </si>
  <si>
    <t>Encaminha Oficio de aquisição de materiais de informatica - SEE</t>
  </si>
  <si>
    <t>Almir</t>
  </si>
  <si>
    <t xml:space="preserve">Encaminha NF - Kutz </t>
  </si>
  <si>
    <t>Encaminha NF - Novo Prado</t>
  </si>
  <si>
    <t>Solcita formalização de Convênio - Nossa Senhora Aparecida</t>
  </si>
  <si>
    <t>Encaminha resposta do sr. Sérgio Henrique Noblat referente a denúncia de acúmulo de cargos públicos</t>
  </si>
  <si>
    <t>Solicitação de Manutenção portas de Vidro Creche Manoel Amaro</t>
  </si>
  <si>
    <t>Encaminha documento de formalização de demanda IAUPE - capacitação escolas integral</t>
  </si>
  <si>
    <t>Solicita Exoneração e David Alex da Silva da função de Gerente da SEE e contrato de Professor</t>
  </si>
  <si>
    <t>Informa que Jose Anderson da Silva não possui vínculo com a SEE</t>
  </si>
  <si>
    <t>Resposta ao Ofício nº02207.000.224/2025-0003</t>
  </si>
  <si>
    <t>Encaminha DFD - IAUPE Capacitação de Alunos em Tempo Integral</t>
  </si>
  <si>
    <t>Solicita Jornada Excepcional para Damião Luiz da Silva</t>
  </si>
  <si>
    <t>Encaminha ART para pagamento Escola ernesto Ribeiro</t>
  </si>
  <si>
    <t>Encaminha Nota Fiscal Cooperativa Mista dos Trabalhadores Sao Lourenço da Mata</t>
  </si>
  <si>
    <t xml:space="preserve">Encaminha Nota Fiscal George Alexandre Dias de Sousa </t>
  </si>
  <si>
    <t>Encaminha DFD - Lógico Primo - Educação Infantil VAAT</t>
  </si>
  <si>
    <t>Encaminha NF Real Alimentos - ARP 008</t>
  </si>
  <si>
    <t>Solicita criação de emails institucionais</t>
  </si>
  <si>
    <t>Encaminha NF Real Alimentos - ARP 012</t>
  </si>
  <si>
    <t>Taxa do detran - Onibus Escolar - Regularização</t>
  </si>
  <si>
    <t>Verificar Multas Onibus Escolar - Com Motoristas</t>
  </si>
  <si>
    <t>Verificar Multas Onibus Escolar - Ano 2024</t>
  </si>
  <si>
    <t>Verificar Multas Onibus Escolar - Com Motoristas Fora do Quadro Funcional</t>
  </si>
  <si>
    <t>Solicitação de Instalação de Grade no Colegio EMEC</t>
  </si>
  <si>
    <t xml:space="preserve">Encaminhamento de Nota para pagamento - Mata norte Tacografo </t>
  </si>
  <si>
    <t>Encaminhamento De Taxa de Licenciamento Onibus - Placa QYZ - 8G13 - SEE</t>
  </si>
  <si>
    <t>Solicitação de Alvará de Funcionamento e Localização - Creche Manoel Amaro</t>
  </si>
  <si>
    <t>Setor de Tributos</t>
  </si>
  <si>
    <t>Solicitação de Alvará de Funcionaento e Localização - Creche Maria Izidoro</t>
  </si>
  <si>
    <t>Solicitação de Alvará de Funcionamento e Localização - Escola Ruy Freire</t>
  </si>
  <si>
    <t>Rúbia</t>
  </si>
  <si>
    <t>Solicitação de Reparo Telhado - Creche Maria Izidoro de Araujo</t>
  </si>
  <si>
    <t>Abertura de Janela na escola - Escola Municipal Florestinha</t>
  </si>
  <si>
    <t>Resposta ao despacho sobre sobre gratificação de Damião Luiz da Silva</t>
  </si>
  <si>
    <t>Resposta ao ofício 077/2025 da Escola Mínima Florestinha</t>
  </si>
  <si>
    <t>Encaminha conta Compesa Secretaria de Educação</t>
  </si>
  <si>
    <t>Encaminha relatório de devolução de Daniele da Silva Santiago e Dayane Ketura Correia para análise e parecer</t>
  </si>
  <si>
    <t>Encaminha indicação de Jose Lourenço para contratação para monitor de ônibus da UFPE</t>
  </si>
  <si>
    <t xml:space="preserve">Encaminha conta Neoenergia Madre Virginia </t>
  </si>
  <si>
    <t>Encaminha conta Compesa Casa Rosa</t>
  </si>
  <si>
    <t>Encaminha Boleto para pagamento referente a taxa de Autorização de trasporte escolar - SOJ - 9G33</t>
  </si>
  <si>
    <t>Solicitação de Reparo Creche Maria Izidoro</t>
  </si>
  <si>
    <t>Encaminha Nota Fiscal BSR Atacado Ltda</t>
  </si>
  <si>
    <t>Encaminha Nota Fiscal Kero Industria de Panificação</t>
  </si>
  <si>
    <t>Encaminha Projeto de lei nº 049/2025 para conhecimento</t>
  </si>
  <si>
    <t>Encaminha Lista de Gestor e Fiscal de Contratos Administrativos</t>
  </si>
  <si>
    <t>Solicita plotagem da planta da Escola Ruy Meira Freire</t>
  </si>
  <si>
    <t>Solicita contrato de Fernanda Pereira de Souza e encaminha docs</t>
  </si>
  <si>
    <t>Solicitação de Troca de Pneus Veiculo - PLACA KGI - 8137</t>
  </si>
  <si>
    <t>Solicita contrato de Josefa Maria da Conceição e encaminha docs</t>
  </si>
  <si>
    <t>Pagamento para Árbitros</t>
  </si>
  <si>
    <t>Verificar Multas Onibus Escolar por falta de Cadastro de Condutor</t>
  </si>
  <si>
    <t>Solicita contrato de Jaqueline Gomes da Silva e encaminha docs</t>
  </si>
  <si>
    <t xml:space="preserve">Encaminha Nota Fiscal Tabs </t>
  </si>
  <si>
    <t>Solicita contrato de Freiton Pereira de Santana e encaminha docs</t>
  </si>
  <si>
    <t>Solicitação de Doação de Onibus Junto A secretaria de Educação do Estado</t>
  </si>
  <si>
    <t>Encaminha Resposta Of.02208.000.429/2025-0003 MPPE</t>
  </si>
  <si>
    <t>Solicita contrato de Rosicleide Paulo do Monte e encaminha docs</t>
  </si>
  <si>
    <t xml:space="preserve">Encaminha Nota Fiscal Cooperativa Mista dos Trabalhadores Rurais </t>
  </si>
  <si>
    <t>Ordem de Fornecimento Pneu10 - Contrato 095/2025 - FME</t>
  </si>
  <si>
    <t>Encaminha DFD - Material de Limpeza - Ajustes Especificações</t>
  </si>
  <si>
    <t>Setor de Licitações</t>
  </si>
  <si>
    <t>Solicitação de Veiculos Junto A secretaria de Educação do Estado</t>
  </si>
  <si>
    <t xml:space="preserve">Encaminha Nota Fiscal Art Limp ARP </t>
  </si>
  <si>
    <t xml:space="preserve">Encaminha Nota Fiscal Lazaro Silva </t>
  </si>
  <si>
    <t>Encaminha Nota Fiscal Joselice da Hora</t>
  </si>
  <si>
    <t>Solicita pagamento de dias trabalhados por Jairo George Vasconcelos Cabral</t>
  </si>
  <si>
    <t>Solicita o aumento do número de formadoras Pro LEEI</t>
  </si>
  <si>
    <t>Coodenação Pro LEEI</t>
  </si>
  <si>
    <t>Solicitar Reparo Sanitario Escola Ernesto Ribeiro</t>
  </si>
  <si>
    <t>Solicita exoneração de Ezequiel Bezerra de Melo</t>
  </si>
  <si>
    <t>Solicita substituta para a cuidadora Micheli Maria da Silva - Creche Pastor Manoel Amaro</t>
  </si>
  <si>
    <t>Informa lotação dos vigilantes em resposta à CI 0465-2025</t>
  </si>
  <si>
    <t>Solicita 1 galão de tinta para o Estádio Municipal</t>
  </si>
  <si>
    <t>Solicita instalação de rede em frente ao palco do Ginásio Municipal</t>
  </si>
  <si>
    <t>Encaminha Reposta Ofício nº02207.000.277/2025-0001</t>
  </si>
  <si>
    <t>Solicita indicação de ASG para a Escola Mínima Florestinha</t>
  </si>
  <si>
    <t>Informa Relação de Fiscais e Gestores de Contratos</t>
  </si>
  <si>
    <t xml:space="preserve">Encaminha NF Kero Industria </t>
  </si>
  <si>
    <t>Encaminha Conta Compesa Depósito de Merenda</t>
  </si>
  <si>
    <t>Encaminha Resposta MPPE Ofício 02208.000.437/225-0001</t>
  </si>
  <si>
    <t>Solicita realocação e/ou devolução de servidor</t>
  </si>
  <si>
    <t>Solicita a remoção de Maria Aldereda Vieira de Miranda da Coordenação da Creche Maria Izidoro</t>
  </si>
  <si>
    <t>Solicitação de Reparo Janela Creche Municipal Maria Izidoro</t>
  </si>
  <si>
    <t>Encaminha Nota Fiscal Real Alimentos ARP 008</t>
  </si>
  <si>
    <t>Solicitação de Reparo 3 onibus Frota - SEE</t>
  </si>
  <si>
    <t xml:space="preserve"> Encaminha Parcelas do PEI CREDITADOS NO FUNDEB</t>
  </si>
  <si>
    <t>Resposta ao Ofício Nº 02208.000.427/2025-0001 - Ministério Público</t>
  </si>
  <si>
    <t>Solicita reintegração de contrato de Renata Roberta da Conceição</t>
  </si>
  <si>
    <t>Regularização Salarial Dupla jornada Motoristas SEE - Josemar Damasceno e Edinaldo luiz</t>
  </si>
  <si>
    <t xml:space="preserve">Encaminha conta Compesa Creche Santa Terezinha </t>
  </si>
  <si>
    <t>Encaminha nota para pagamento - JMS Empreenimento</t>
  </si>
  <si>
    <t>Encaminha Nota Fiscal Real Alimentos ARP 012</t>
  </si>
  <si>
    <t>Solicitação de poda de arvore - Escola Pinto lapa sobrinho</t>
  </si>
  <si>
    <t>Secretaria de Meio Ambiente e da Causa Animal</t>
  </si>
  <si>
    <t>Solicita pagamento de dias trabalhados em Março por Adriana Maria Rufino</t>
  </si>
  <si>
    <t>Solicita pagamento de diárias para motoristas no Seminário Regional do Pacto pela EJA</t>
  </si>
  <si>
    <t>Encaminha Nota Fsical Novo Prado -</t>
  </si>
  <si>
    <t xml:space="preserve">Solicita Jornada Excepcional fixa para Almir José de Souza Junior </t>
  </si>
  <si>
    <t>Solicitação GAB</t>
  </si>
  <si>
    <t>Solicita concessão de Djair Santiago para a folha da Educação</t>
  </si>
  <si>
    <t>Solicita Jornada Excepcional fixa para Djair Santiago</t>
  </si>
  <si>
    <t xml:space="preserve">Solicitar Contratação de Monitor de Onibus - para rota TRES PAUS / RIBEIRA / TABOCAS   </t>
  </si>
  <si>
    <t>Solicita exoneração dos Instrutores contratados através do ofício 1456/2025</t>
  </si>
  <si>
    <t xml:space="preserve">Solictiação de Compra Lava jato Garagem </t>
  </si>
  <si>
    <t>Retirada de 3 fogões industrial</t>
  </si>
  <si>
    <t>LIVRE PARA USAR</t>
  </si>
  <si>
    <t>Solicitar guarda de transito para embarque dos Universitários</t>
  </si>
  <si>
    <t>Solicitar cadeados e travas para Geladeiras e Freezes - galpão merenda</t>
  </si>
  <si>
    <t>Solicitação de Compra de Peças para impressoras</t>
  </si>
  <si>
    <t>Encaminha NF IAUPE - Implementação de política de Educação Integral</t>
  </si>
  <si>
    <t>Solicitação de reparo eletrica escola de aparecida</t>
  </si>
  <si>
    <t>Solicitação de capinação Creche manoel amaro</t>
  </si>
  <si>
    <t>Indica substituição de titular do Conselho Municipal de Juventude</t>
  </si>
  <si>
    <t>Secretaria de Desenvolvimento Social, Criança e Juventude</t>
  </si>
  <si>
    <t>Indica substituição de titular do Conselho Municipal de Assistência Social</t>
  </si>
  <si>
    <t>Solicitação de abertura de CNPJ da Creche Maria Izidoro</t>
  </si>
  <si>
    <t>Solicitação de abertura de CNPJ da Creche Manoel Amaro</t>
  </si>
  <si>
    <t>Solicitação de abertura de CNPJ da Escola Ruy Freire</t>
  </si>
  <si>
    <t>Resposta ao Ofício Nº 02208.000.426/2025-0001</t>
  </si>
  <si>
    <t>Encaminha Demanda de Aquisição de Máquina de lava jato</t>
  </si>
  <si>
    <t>Solicita cronograma de previsão de execução de serviços em ônibus</t>
  </si>
  <si>
    <t>Solicita orçamento do serviço de funilaria nos ônibus da frota do transporte escolar</t>
  </si>
  <si>
    <t>Solicita Carro Pipa para limpeza da Quadra Poliesportiva para o Evento do Aluno Nota 10</t>
  </si>
  <si>
    <t>Encaminha Demanda de Aquisição Fardamentos 2026</t>
  </si>
  <si>
    <t>Solicita contrato de Andreza Cristina dos Santos e encaminha docs</t>
  </si>
  <si>
    <t>Solicitar Manunteção e Instalação de equipamentos Na Vam Placa - SNT4A17</t>
  </si>
  <si>
    <t>Encaminha o DFD para Contratação de Instituição para implementação -  Cognitivo Reajustado</t>
  </si>
  <si>
    <t xml:space="preserve">Solicitação de Fogão Para escolas </t>
  </si>
  <si>
    <t xml:space="preserve">Encaminha o DFD  para aquisição dos conjuntos lógicos didáticos - PRIMO </t>
  </si>
  <si>
    <t xml:space="preserve">Solcita manutenção veicular - SPIN Placa </t>
  </si>
  <si>
    <t>Diretoria de Transportes</t>
  </si>
  <si>
    <t>Solicita a Instauração de Processo de Responsabilização</t>
  </si>
  <si>
    <t>Solicita desligamento de Sebastião Moura Neto</t>
  </si>
  <si>
    <t>Solicitação de Retirada de ventilador de 60 cm</t>
  </si>
  <si>
    <t>Solicitação de retirada de 10 cadeados e 10 tricos</t>
  </si>
  <si>
    <t>Solicitação de pagamento ART - Subestação Marechal Rondon</t>
  </si>
  <si>
    <t>Solicitação de pagamento ART - Subestação Pio X</t>
  </si>
  <si>
    <t>Solicitação de pagamento ART - Irineu de Pontes</t>
  </si>
  <si>
    <t>1011/25</t>
  </si>
  <si>
    <t>Solicitação de proposta orçamentária e documentação da Pedagógica Educacional  Projeto de Vida.</t>
  </si>
  <si>
    <t>Email</t>
  </si>
  <si>
    <t xml:space="preserve">Solicita avaliação de predio para alocação de turmas </t>
  </si>
  <si>
    <t xml:space="preserve">Local de Instalçaão de Cameras no SEE </t>
  </si>
  <si>
    <t>Gerencia de TI</t>
  </si>
  <si>
    <t xml:space="preserve">Encaminha DFD Merenda Escolar - Itens Fracassados </t>
  </si>
  <si>
    <t>Solicita contrato de Maria Eduarda Severino de Albuquerque e encaminha docs</t>
  </si>
  <si>
    <t>Resposta a Oficio 481/2025 - Thiago Grassi</t>
  </si>
  <si>
    <t>Encaminhar Projeto de Ementa CMEIs- Para o procurador do Municipio</t>
  </si>
  <si>
    <t>Encaminha currículo de Nutricionista para análise e parecer de contratação</t>
  </si>
  <si>
    <t>Solicita encaminhamento de equipe para Escola Marechal Rondon</t>
  </si>
  <si>
    <t>Solicita contrato de Jaqueline Maria Ferreira e encaminha docs</t>
  </si>
  <si>
    <t>Encaminha boleto custas cartorarias Esc PIO X</t>
  </si>
  <si>
    <t xml:space="preserve"> Solicita reserva do Auditório da Prefeitura para Palestra com Daniel Paixão</t>
  </si>
  <si>
    <t>Pagamento de material esportivo</t>
  </si>
  <si>
    <t>Informa sobre a recusa na indicação de Renata Lima Borges - Merendeira para Bela Vista</t>
  </si>
  <si>
    <t>Informa sobre a recusa na indicação de Maria José de Lima Filha - ASG para Florestinha</t>
  </si>
  <si>
    <t>Solicitação de proposta orçamentária e documentação da Coleção Sim Alfabetização</t>
  </si>
  <si>
    <t>Encaminha Nota Fiscal Para Pagamento Associação santo Agostinho</t>
  </si>
  <si>
    <t>Encaminha Nota Fiscal Para Pagamento Comercial 2001</t>
  </si>
  <si>
    <t>Encaminha Nota Fiscal Para Pagamente Kero Industria</t>
  </si>
  <si>
    <t>Encaminha solicitação de refletor e som para Conclusão da Educação Infantil - Professor Euclides</t>
  </si>
  <si>
    <t>Solicitação de retirada de 3 Ventiladores - Para Bliblioteca PUblica</t>
  </si>
  <si>
    <t>Encaminha Conta da Neoenergia - Pio x</t>
  </si>
  <si>
    <t>Solicita ASG para Escola Dr. Irineu de Pontes</t>
  </si>
  <si>
    <t>Encaminha indicação de Jonathas Gabriel Andrade de Oliveira para Estágio CIEE</t>
  </si>
  <si>
    <t>Resposta ao SINDPROFM - Diário Eletrônico</t>
  </si>
  <si>
    <t xml:space="preserve">Encaminha por tempore Ana Christine para assinaturas nos processos admininstrativos </t>
  </si>
  <si>
    <t xml:space="preserve">Encaminha conta Coletiva Neoenergia para pagamento </t>
  </si>
  <si>
    <t>Encaminha Nota Fiscal para pagamento - Comercial 2001 Es PIO X</t>
  </si>
  <si>
    <t>Encaminha Nota Fiscal para pagamento - Comercial 2001 Es Sao Joaquim</t>
  </si>
  <si>
    <t>Encaminha DFD - Material Gráfico para 2026</t>
  </si>
  <si>
    <t>Comunica a volta de Lívia Sthephany Gonçalves da Silva da Licença Maternidade</t>
  </si>
  <si>
    <t>Solicitar Visita tecnica para instalaçao de Refletor evento Monteville</t>
  </si>
  <si>
    <t>Solicita exoneração de Fabiana de Lira Miranda</t>
  </si>
  <si>
    <t>Solicitação de intalação de boia escola Marechal Rondon</t>
  </si>
  <si>
    <t>Encaminha Nota para pagamento Lazaro da Silva Santana</t>
  </si>
  <si>
    <t>Retirada de 6 caixas de Copo de 150 ml - Deposito Central</t>
  </si>
  <si>
    <t xml:space="preserve">Retirada de 20 fardos de papel Higiênico - Deposito Central </t>
  </si>
  <si>
    <t>Resposta ao ofício 01/2025 da Associação dos Corredores de Carpina - Despacho GAB</t>
  </si>
  <si>
    <t>Solicitação de Contratação de Empresa para manunteção de Ar</t>
  </si>
  <si>
    <t>Solicitação de capinação na sede da SEE</t>
  </si>
  <si>
    <t>Retirada de Um Ar para escola Professor Euclides</t>
  </si>
  <si>
    <t>Manutenção de ar Professor Euclides</t>
  </si>
  <si>
    <t>Solicita parecer referente a intalação de barracas nas mediações da escolas</t>
  </si>
  <si>
    <t>Encaminha solicitação de som Formatura - Centro Social Santa ana</t>
  </si>
  <si>
    <t>Solicitar Visita tecnica para instalaçao de Refletor evento Celebre</t>
  </si>
  <si>
    <t>Solicita Ordem de Fornecimento de Papel Ofício</t>
  </si>
  <si>
    <t>Solicita Ordem de Fornecimento de Desinfetante</t>
  </si>
  <si>
    <t>Anuencia à prorrogação de prazo contratual - Empresa  YUMI -</t>
  </si>
  <si>
    <t>Solicita Ordem de Fornecimento de Sabão em Pó</t>
  </si>
  <si>
    <t>Solicita Ordem de Fornecimento de Cloro e Multiuso</t>
  </si>
  <si>
    <t xml:space="preserve">RELATORIO DE MOBILIÁRIO  </t>
  </si>
  <si>
    <t xml:space="preserve">INFORMAÇÕES SOBRE O PETE </t>
  </si>
  <si>
    <t xml:space="preserve">CALENDÁRIO ESCOLAR </t>
  </si>
  <si>
    <t xml:space="preserve">TERÇO DE FÉRIAS E FÉRIAS </t>
  </si>
  <si>
    <t>RELAÇÃO DE CARGOS DA SEE</t>
  </si>
  <si>
    <t xml:space="preserve">LICENÇA PRÊMIO </t>
  </si>
  <si>
    <t xml:space="preserve">ATIVAÇÃO DE CONTAS CORRENTES </t>
  </si>
  <si>
    <t xml:space="preserve">RELAÇÃO DE NESSECIDADE DE CONTRATO </t>
  </si>
  <si>
    <t xml:space="preserve">APOSENTARIA DE SERVIDORA </t>
  </si>
  <si>
    <t>SOLICITAÇÃO DE VISTORIA SEE</t>
  </si>
  <si>
    <t xml:space="preserve">COMPRA DE AMTERIAL </t>
  </si>
  <si>
    <t>ENCAMINHAR DOCUMENTAÇÃO PESSOAL</t>
  </si>
  <si>
    <t xml:space="preserve">SOLICITAÇÃO DE VISTORIA </t>
  </si>
  <si>
    <t xml:space="preserve">SOLICITAÇÃO DE VISTORIA PRÉDIO CEI PETRIBÚ </t>
  </si>
  <si>
    <t xml:space="preserve">SOLICITAR ESTUDO TÉCNIVO - PERFURAÇÃO DE POÇO </t>
  </si>
  <si>
    <t>SOLICITAR REPAROS NAS SALAS ESC. IRINEU DE PONTES</t>
  </si>
  <si>
    <t>ALTERAÇÃO DE CALENDÁRIO 2025</t>
  </si>
  <si>
    <t xml:space="preserve">ADICIONAL DE PRODUTIVIDADE </t>
  </si>
  <si>
    <t xml:space="preserve">SOLICITAÇÃO MOBILIÁRIO ESCOLAR </t>
  </si>
  <si>
    <t>SOLICITAÇÃO DE REFORMA NA CRECHE ZITE LAPA</t>
  </si>
  <si>
    <t xml:space="preserve">INFORMAÇÃO DA BIBLIOTECA </t>
  </si>
  <si>
    <t xml:space="preserve">ESTRUTURA DA SEE </t>
  </si>
  <si>
    <t>INFORMAR NOVO ARTICULADOR CNCA</t>
  </si>
  <si>
    <t>VISTORIA NA ESCOLA SÃO JOAQUIM ( VILA CARAUBA)</t>
  </si>
  <si>
    <t>RENOVAÇÃO DE CONTRATO SICAP</t>
  </si>
  <si>
    <t xml:space="preserve">SOLICITAÇÕES EMERGENCIAIS </t>
  </si>
  <si>
    <t>INFORMAÇÃO PESSOAL SEDUC</t>
  </si>
  <si>
    <t>TRANSPORTE PARA VITORIA DE SANTO ANTÃO</t>
  </si>
  <si>
    <t>LICENÇA PRÊMIO (MARIA VERONICA)</t>
  </si>
  <si>
    <t>LICENÇA PRÊMIO (MARIA VERNICA)</t>
  </si>
  <si>
    <t>REMOÇÃO DE BENS EM DESUSO</t>
  </si>
  <si>
    <t xml:space="preserve">TERÇO DE FPERIAS E FÉRIAS </t>
  </si>
  <si>
    <t xml:space="preserve">IMPRESSÃO DE CARTEIRAS TRANSPORTE </t>
  </si>
  <si>
    <t xml:space="preserve">RELATORIO DE FECHAMENTO SICAP 2024 </t>
  </si>
  <si>
    <t xml:space="preserve">TRANSPOTE DE UNIVERSITARIOS </t>
  </si>
  <si>
    <t xml:space="preserve">INSTALAÇÃO DE CAMERAS NA QUADRA </t>
  </si>
  <si>
    <t xml:space="preserve">ENCAMINHAR DOCUMENTAÇÃO PESSOAL </t>
  </si>
  <si>
    <t xml:space="preserve">OFÍCIO A DIRETORIA DE TRANSPORTE </t>
  </si>
  <si>
    <t>CADASTRAMENTO DO SISTEMA</t>
  </si>
  <si>
    <t xml:space="preserve">INFORMAÇÕES SOBRE PERMUTA </t>
  </si>
  <si>
    <t xml:space="preserve">DOCUMENTAÇÃO GERENCIA EDUCAÇÃO  INCLUSIVA </t>
  </si>
  <si>
    <t xml:space="preserve">LOCAÇÃO DE POSTO DE TRABALHO </t>
  </si>
  <si>
    <t xml:space="preserve">REENCAMINHAMENTO CALENDÁRIO </t>
  </si>
  <si>
    <t xml:space="preserve">SEC. ASSISTENCIA SOCIAL / CONSELHO </t>
  </si>
  <si>
    <t xml:space="preserve">SEC. SAÚDE / KIT CILINDRO </t>
  </si>
  <si>
    <t>RENOVAÇÃO DE LOCAÇÃO SEE</t>
  </si>
  <si>
    <t>APOIO DE GMC NO TRANSPORTE ESCOLAR</t>
  </si>
  <si>
    <t xml:space="preserve">SOLITAÇÃO LOCAÇÃO DE VEICULOS </t>
  </si>
  <si>
    <t>RESPOSTA A CI - MPF</t>
  </si>
  <si>
    <t xml:space="preserve">REALIZAÇÃO DO EVENTO DA ACOLHIDA </t>
  </si>
  <si>
    <t xml:space="preserve">SERVIÇOS DE DEDETIZAÇÃO E CAPINAÇÃO </t>
  </si>
  <si>
    <t xml:space="preserve">PERMUTA DE SERVIDOR </t>
  </si>
  <si>
    <t>CONVITE PARA POSSE DE GESTORES</t>
  </si>
  <si>
    <t xml:space="preserve">LISTAS DE ESCOLAS PARA OBRAS </t>
  </si>
  <si>
    <t>ESCOLAS CONFESSIONAIS</t>
  </si>
  <si>
    <t xml:space="preserve">  ------</t>
  </si>
  <si>
    <t xml:space="preserve">             ------------------------------------------</t>
  </si>
  <si>
    <t>SOLICITAÇÃO DE SENHA SIOPE</t>
  </si>
  <si>
    <t xml:space="preserve">AQUISIÇÃO DE CRACHAS PARA TRANSPOTES  </t>
  </si>
  <si>
    <t>SOLITAÇÃO LOCAÇÃO E AQUISIÇÃO DE VEICULOS ....</t>
  </si>
  <si>
    <t xml:space="preserve">SOLITAÇÃO LOCAÇÃO E AQUISIÇÃO DE VEICULOS </t>
  </si>
  <si>
    <t xml:space="preserve">EXCLUSÃO DE SERVIDOR </t>
  </si>
  <si>
    <t xml:space="preserve">DESLIGAMENTO DE SERVIDOR </t>
  </si>
  <si>
    <t>DOCUMENTAÇÃO DE SERVIDOR DA ESCOLA BELA VIST A</t>
  </si>
  <si>
    <t>EMPRESA PARA MANUTENÇÃO DE PISCINA</t>
  </si>
  <si>
    <t>RESPOSTA AO OFÍCIO MPPE</t>
  </si>
  <si>
    <t>CEDENCIA DE SERVIDOR EFETIVO</t>
  </si>
  <si>
    <t xml:space="preserve">RENOVAÇÃO DE PERMUTA </t>
  </si>
  <si>
    <t>SOLICITAR PATRULHA ESCOLAR</t>
  </si>
  <si>
    <t>Secretaria de Educação e Esportes</t>
  </si>
  <si>
    <t xml:space="preserve">LIMPEZA NOS RESERVATORIOS DE ÁGUA </t>
  </si>
  <si>
    <t>PERMUTA DE SERVIDOR PAUDALHO</t>
  </si>
  <si>
    <t xml:space="preserve">GRATIFICAÇÃO POR TEMPO DE SERVIÇOS </t>
  </si>
  <si>
    <t xml:space="preserve">ABONO PERMANENCIA </t>
  </si>
  <si>
    <t>PENDENCIAS DE CREDIROS SALARIAL JANEIRO /2025</t>
  </si>
  <si>
    <t>RESPOSTAS AO OFÍCIO MPPE</t>
  </si>
  <si>
    <t xml:space="preserve">CALENDARIO ESCOLAR </t>
  </si>
  <si>
    <t xml:space="preserve">LISTAS DE ALUNOS DA ESCOLA DE APLICAÇÃO </t>
  </si>
  <si>
    <t>AQUISIÇÃO EMERGENCIAL DE MERENDA ESCOLAR</t>
  </si>
  <si>
    <t>TERMO DE INSPEÇÃO NEOENERGIA NAS ESCOLAS</t>
  </si>
  <si>
    <t>RENOVAÇÃO DE PERMUTA (LIMOEIRO)</t>
  </si>
  <si>
    <t>PORTARIA DE EX GESTORES DE ESCOLA</t>
  </si>
  <si>
    <t xml:space="preserve">SOLICITAÇÃO DE FUNCIONARIOS </t>
  </si>
  <si>
    <t>SOLICITAR TERMO DE PARCERIA  2025</t>
  </si>
  <si>
    <t>DILAÇÃO DE PRAZO PARA RESPOSTAS MPPE</t>
  </si>
  <si>
    <t xml:space="preserve">ALUGUEL DE GALPÃO </t>
  </si>
  <si>
    <t>MUDANÇA DE FAIXA SALARIAL</t>
  </si>
  <si>
    <t xml:space="preserve">SOLICITAÇÃO DE MATERIAL ESPORTIVO </t>
  </si>
  <si>
    <t xml:space="preserve">       -------------------------</t>
  </si>
  <si>
    <t xml:space="preserve">SOLICITAR SALAS MADRE VIRGINIA </t>
  </si>
  <si>
    <t xml:space="preserve">PARECER JÚRIDICO </t>
  </si>
  <si>
    <t>ADESÃO DE ATA</t>
  </si>
  <si>
    <t xml:space="preserve">RELAÇÃO DE GESTORES ESCOLARES </t>
  </si>
  <si>
    <t xml:space="preserve">RELAÇÃO DE MOTORISTAS </t>
  </si>
  <si>
    <t xml:space="preserve">TERMO DE CONVENIOS </t>
  </si>
  <si>
    <t xml:space="preserve">TERÇO DE FÉRIAS </t>
  </si>
  <si>
    <t>DOCUMENTAÇÃO DE GESTOR JORGE MIGUEL</t>
  </si>
  <si>
    <t>DECLARAÇÃO DE ACUMULO DE CARGO</t>
  </si>
  <si>
    <t>DESVINCULAÇÃO DE SINDICATO</t>
  </si>
  <si>
    <t xml:space="preserve">CRONOGRAMA PSE </t>
  </si>
  <si>
    <t xml:space="preserve">DOCUMENTAÇÃO DE SERVIDORES </t>
  </si>
  <si>
    <t xml:space="preserve">DOCUMENTAÇÃO DE SERVIDORES SEC. ESPORTE </t>
  </si>
  <si>
    <t xml:space="preserve">OCUPAÇÃO DE SERVIDORES </t>
  </si>
  <si>
    <t xml:space="preserve">SOLICITAÇÃO DE PAGAMENTO DE ALUGUEIS </t>
  </si>
  <si>
    <t xml:space="preserve">SOLICITAÇÃO DE LOCAÇÃO DE VEICULOS </t>
  </si>
  <si>
    <t xml:space="preserve">SOLICITAÇÃO DE PAGAMENTO DOS IPVAS DOS ÔNIBUS </t>
  </si>
  <si>
    <t xml:space="preserve">DEMANDA DE MOTORISTAS TRANSPORTE ESCOLAR </t>
  </si>
  <si>
    <t xml:space="preserve">SOLICITAÇÃO DE AUDITORIO MADRE VIRGINIA </t>
  </si>
  <si>
    <t>Escolas Municipais</t>
  </si>
  <si>
    <t>SOLICITAÇÃO DE PALESTRA LEI BOMBEIRO</t>
  </si>
  <si>
    <t xml:space="preserve">REVITALIZAÇÃO DO GINASIO </t>
  </si>
  <si>
    <t xml:space="preserve">SOLICITAR RESMA DE OFÍCIO </t>
  </si>
  <si>
    <t xml:space="preserve">DOCUMENTAÇÃO DE CONTRATO </t>
  </si>
  <si>
    <t xml:space="preserve">ENCAMINHAMENTO DE MOTORISTA </t>
  </si>
  <si>
    <t xml:space="preserve">AGRADECIMENTO DE RESPOSTA DO OFÍCIO </t>
  </si>
  <si>
    <t xml:space="preserve">AQUISIÇÃO DE CAIXAS DE OFÍCIO </t>
  </si>
  <si>
    <t xml:space="preserve">SOLICITAÇÃO DE EQUIPE DE PALESTRAS LEI LUCAS </t>
  </si>
  <si>
    <t xml:space="preserve">SOLICITAÇÃO DE MATERIAIS DIDATICOS </t>
  </si>
  <si>
    <t xml:space="preserve">APOIO DA GUARDA MUNICIPAL </t>
  </si>
  <si>
    <t xml:space="preserve">RELAÇÃO DE MOTORISTA TRANSPORTE ESCOLAR </t>
  </si>
  <si>
    <t xml:space="preserve">DOCMENTAÇÃO DO PSICOLOGO </t>
  </si>
  <si>
    <t xml:space="preserve">RESUMO DE CESSÃO MEDIANTE PERMUTA </t>
  </si>
  <si>
    <t xml:space="preserve">REDUÇÃO DE CARGA HORARIA </t>
  </si>
  <si>
    <t xml:space="preserve">ARQUIVAMENTO </t>
  </si>
  <si>
    <t xml:space="preserve">RESPOSTA AO OF SÃO JOSÉ PELEGRINO </t>
  </si>
  <si>
    <t xml:space="preserve">RESPOSTA AO MPPE </t>
  </si>
  <si>
    <t xml:space="preserve">SOLICITAÇÃO DE COPOS DESCARTAVEIS E RESMA DE PAPEL </t>
  </si>
  <si>
    <t xml:space="preserve">CONTRATAÇÃO DO ANEXO PIO X </t>
  </si>
  <si>
    <t xml:space="preserve">CONTRATAÇÃO DO MARIA ANUNCIADA </t>
  </si>
  <si>
    <t xml:space="preserve">CONTRATAÇÃO DO SOFIA ADELINA </t>
  </si>
  <si>
    <t xml:space="preserve">CONTRATAÇÃO DO ELIANE CARNEIRO </t>
  </si>
  <si>
    <t xml:space="preserve">CONTRATAÇÃO DA CRECHE SANTA TERESINHA </t>
  </si>
  <si>
    <t xml:space="preserve">CONTRATAÇÃO DA CRECHE BRENA RAYSA </t>
  </si>
  <si>
    <t xml:space="preserve">CONTRATAÇÃO DO BELA VISTA </t>
  </si>
  <si>
    <t xml:space="preserve">CONTRATAÇÃO ERNESTO RIBEIRO </t>
  </si>
  <si>
    <t xml:space="preserve">     --------</t>
  </si>
  <si>
    <t>RESPOSTAS AO OF DO CGM</t>
  </si>
  <si>
    <t>APOIO DE GUARDA MUNICIPAL ESCOLA RUY MEIRA</t>
  </si>
  <si>
    <t>FORMADORES CNCA</t>
  </si>
  <si>
    <t xml:space="preserve">DOCUMENTAÇÃO DA ESCOLA FLORESTINHA </t>
  </si>
  <si>
    <t xml:space="preserve">DEMANDA DE FARDAMENTO </t>
  </si>
  <si>
    <t xml:space="preserve">RESPOSTA A OUVIDORIA </t>
  </si>
  <si>
    <t xml:space="preserve">EXAME ADMISSIONAL </t>
  </si>
  <si>
    <t xml:space="preserve">ERESPOSTA AO OF 01 </t>
  </si>
  <si>
    <t xml:space="preserve">CONTA DA COMPESA </t>
  </si>
  <si>
    <t xml:space="preserve">NOTAS FISCAIS </t>
  </si>
  <si>
    <t xml:space="preserve">ALTERAÇÃO DE FUNÇÃO DE SERVIDOR </t>
  </si>
  <si>
    <t>NOTA FISCAL PARA PAGAMENTO</t>
  </si>
  <si>
    <t xml:space="preserve">DEMANDA DE MATERIAL DE EXPEDIENTE E DIDATICOS </t>
  </si>
  <si>
    <t xml:space="preserve">NOVO PAC </t>
  </si>
  <si>
    <t xml:space="preserve">EXAME ADMISSIONAL (ALEX) </t>
  </si>
  <si>
    <t xml:space="preserve">ENCAMINHAMENTO TERMO DE PERMUTA </t>
  </si>
  <si>
    <t xml:space="preserve">TAXA DETRAN AUTORIZAÇÃO TRANSPORTE ESCOLAR </t>
  </si>
  <si>
    <t xml:space="preserve">NOTIFICAÇÃO DE ALTUAÇÃO </t>
  </si>
  <si>
    <t xml:space="preserve">INF. DO EDUCADOR PARA O TRANSITO </t>
  </si>
  <si>
    <t xml:space="preserve">SOLICITAÇÃO DE ÕNIBUS PARA JOÃO PESSOA </t>
  </si>
  <si>
    <t>28-0-2025</t>
  </si>
  <si>
    <t xml:space="preserve">COPOS DESCARTAVEIS </t>
  </si>
  <si>
    <t xml:space="preserve">DEMANDA DE FRALDAS DESCARTAVEIS </t>
  </si>
  <si>
    <t>ENCAMINHAR TERMO DE FILIAÇÃO UNDIME</t>
  </si>
  <si>
    <t>SOLICITAR RESCISÃO CONTRATUAL ( NUTRICIONISTA )</t>
  </si>
  <si>
    <t xml:space="preserve">NOTAS FISCAIS PARA PAGAMENTO </t>
  </si>
  <si>
    <t xml:space="preserve">PROGRAMA DE SAUDE NAS ESCOLAS </t>
  </si>
  <si>
    <t xml:space="preserve">PARTICIPAÇÃO DO SRº JOSÉ ALDEMIR DA SILVA </t>
  </si>
  <si>
    <t xml:space="preserve">NOTIFICAÇÃO DE AUTUAÇÃO </t>
  </si>
  <si>
    <t>ENCAMINHAR DOCUMENTAÇÃO DE LOCADOR</t>
  </si>
  <si>
    <t xml:space="preserve">ENCAMINHAR DOCUMENTAÇÃO DE LOCADOR CARAUBA </t>
  </si>
  <si>
    <t xml:space="preserve">SOLICITAR ADCIONAL NOTURNO </t>
  </si>
  <si>
    <t xml:space="preserve">AJUSTES SALARIAIS DE GESTORES </t>
  </si>
  <si>
    <t xml:space="preserve">ENCAMINHAR PERMUTA </t>
  </si>
  <si>
    <t xml:space="preserve">SOLICITAR PROFESSOR </t>
  </si>
  <si>
    <t xml:space="preserve">SOLICITAÇÃO </t>
  </si>
  <si>
    <t>CONVITE PALESTRA DE VACINAÇÃO  IMIP</t>
  </si>
  <si>
    <t>Escolas Estaduais</t>
  </si>
  <si>
    <t>11-03-202</t>
  </si>
  <si>
    <t>CONVITE PALESTRA DE PREVÊNÇÃO HPV   IMIP</t>
  </si>
  <si>
    <t>DOCUMENTAÇÃO DE CONTRATO DE MOTORISTA</t>
  </si>
  <si>
    <t xml:space="preserve">SOLICITAÇÃO DE MOTORISTA </t>
  </si>
  <si>
    <t>SOLICITAÇÃO DE PRODUÇÃO DE AVALIAÇÕES CNCA</t>
  </si>
  <si>
    <t xml:space="preserve">SOLICITAR REUNIÃO DE EQUIPE DA TI </t>
  </si>
  <si>
    <t xml:space="preserve">SOLICITAR AJUSTE SALARIAL MOTORISTA </t>
  </si>
  <si>
    <t xml:space="preserve">ENCAMINHAR OFÍCIO DA ESCOLA CARAMURU </t>
  </si>
  <si>
    <t xml:space="preserve">SUBSTITUIÇÃO DE FORMADO </t>
  </si>
  <si>
    <t xml:space="preserve">INDICAÇÃO BOLSISTA PCA </t>
  </si>
  <si>
    <t>ENCAMINHAR Nº 13</t>
  </si>
  <si>
    <t xml:space="preserve">NOTA FISCAL PARA PAGAMENTO </t>
  </si>
  <si>
    <t>SOLICITAR GMC PARA  CAMPO BAIRRO NOVO</t>
  </si>
  <si>
    <t xml:space="preserve">SOLICITAR GMC PARA CAMPO SENZALA </t>
  </si>
  <si>
    <t xml:space="preserve">SOLICITAR GMC PARA GINASIO </t>
  </si>
  <si>
    <t>SOLICITAR AMBULANCIA CAMPO SENZALA</t>
  </si>
  <si>
    <t>SOLICITAR AMBULANCIA CAMPO BAIRRO NOVO</t>
  </si>
  <si>
    <t xml:space="preserve">SOLICITAR AMBULANCIA </t>
  </si>
  <si>
    <t xml:space="preserve">DEMANDA DE MATERIAL ESPORTIVO </t>
  </si>
  <si>
    <t xml:space="preserve">SOLICITAR SOM PARA GINASIO </t>
  </si>
  <si>
    <t>12-03-205</t>
  </si>
  <si>
    <t xml:space="preserve">NECESSIDADE PROGRAMA NACIONAL ALIMENTO ESCOLAR </t>
  </si>
  <si>
    <t xml:space="preserve">RESPOSTA AO OF 052-2025 CONSELHO TUTELAR </t>
  </si>
  <si>
    <t xml:space="preserve">ENCAMINHAR CARGO DA SEDUC </t>
  </si>
  <si>
    <t xml:space="preserve">CONTRATO DE NUTRICIONISTA </t>
  </si>
  <si>
    <t xml:space="preserve">SOLICITAÇÃO DE PAGAMENTO NEOENERGIA </t>
  </si>
  <si>
    <t>PRONATEC - EJA /CODA</t>
  </si>
  <si>
    <t xml:space="preserve">ENCAMINHAR DAS INDICAÇÕES DE COORDENADORES </t>
  </si>
  <si>
    <t xml:space="preserve">TERMO DE COOPERAÇÃO TÉCNICA PERMUTA </t>
  </si>
  <si>
    <t xml:space="preserve">IMPRESSÃO DE CARTEIRA TRANSPORTE UNIVERSITARIO </t>
  </si>
  <si>
    <t>SOLICITAR DE ADESÃO DE ATA DE REGISTRO DE  PREÇOS</t>
  </si>
  <si>
    <t>ATA DE REGISTRO CONIAPE</t>
  </si>
  <si>
    <t xml:space="preserve">SOLICITAR PAGAMENTO DA NEOENERGIA </t>
  </si>
  <si>
    <t>RESPOSTA A PROMOTORIA DA JUSTIÇA</t>
  </si>
  <si>
    <t xml:space="preserve">CONTAS NEOENERIA DAS CRECHES </t>
  </si>
  <si>
    <t xml:space="preserve">SOLICITAR CHAVES </t>
  </si>
  <si>
    <t>ENCAMINHAR DOCUMENTO PETF</t>
  </si>
  <si>
    <t>Secretaria Executiva de Administração</t>
  </si>
  <si>
    <t xml:space="preserve">AQUISIÇÃO DE KITS ESCOLARES E MOCHILAS </t>
  </si>
  <si>
    <t>ERRATA DO OFÍCIO Nº 147-2025</t>
  </si>
  <si>
    <t xml:space="preserve">DEMANDA DE MATERIAL DE EXPEDIENTE </t>
  </si>
  <si>
    <t xml:space="preserve">TRANSPORTE ESCOLAR ESCOLA DE APLICAÇÃO </t>
  </si>
  <si>
    <t>RESPOSTA A CONTROLADORIA OFÍCIO Nº 026/2025</t>
  </si>
  <si>
    <t xml:space="preserve">FÉRIAS E TERÇO DE FÉRIAS </t>
  </si>
  <si>
    <t xml:space="preserve">SOLICITAÇÃO DE GESTORAS </t>
  </si>
  <si>
    <t xml:space="preserve">SOLICITAR SUPLEMENTAÇÃO ORÇAMENTARIA </t>
  </si>
  <si>
    <t xml:space="preserve">PROFESSOR AMIGO DO TRANSITO </t>
  </si>
  <si>
    <t xml:space="preserve">Altarquia de Trânsito </t>
  </si>
  <si>
    <t xml:space="preserve">RESPOSTA DE OFÍCIO AO MPPE </t>
  </si>
  <si>
    <t xml:space="preserve">NOTIFICAÇÃO PARA DESCONTO EM FOLHA </t>
  </si>
  <si>
    <t>ENCAMINHAR MULTAS DE TRANSITO PARA PAGEMENTO</t>
  </si>
  <si>
    <t xml:space="preserve">CONTRATO NUTRICIONISTA </t>
  </si>
  <si>
    <t xml:space="preserve">CONTA DA COMPESA CEI SANTANA </t>
  </si>
  <si>
    <t xml:space="preserve">LICENCIAMENTO DE VEICULOS PARA PAGAMENTO </t>
  </si>
  <si>
    <t xml:space="preserve">SOLICITAÇÃO DE MICRO-ONDAS </t>
  </si>
  <si>
    <t xml:space="preserve">EQUIPAMENTO DE PNAE </t>
  </si>
  <si>
    <t>DEMANDA UTENSILIOS PNAE</t>
  </si>
  <si>
    <t xml:space="preserve">SOLICITAR LOCAÇÃO DE VEICULOS </t>
  </si>
  <si>
    <t xml:space="preserve">ACUMULATICO </t>
  </si>
  <si>
    <t xml:space="preserve">CONTRATAÇÃO DE MOTORISTA </t>
  </si>
  <si>
    <t xml:space="preserve">INFORMAÇÕES DE PORTES ESCOLARES </t>
  </si>
  <si>
    <t xml:space="preserve">APOIO CERIMONIAL EVENTO JEPS </t>
  </si>
  <si>
    <t xml:space="preserve">AUMENTO DE CARGA HORARIA </t>
  </si>
  <si>
    <t xml:space="preserve">SOLICITAÇÃO DE LOCAÇÃO DE GALPAO </t>
  </si>
  <si>
    <t xml:space="preserve">CONTRARAÇÃO DE MOTORISTA </t>
  </si>
  <si>
    <t xml:space="preserve">ITENS DE TI PNAE </t>
  </si>
  <si>
    <t xml:space="preserve">SOLICITAÇÃO DE BANDA  JOAQUIM OLAVO </t>
  </si>
  <si>
    <t xml:space="preserve">SOLICITAÇÃO DE BANDA JCP </t>
  </si>
  <si>
    <t xml:space="preserve">JOGOS ESCOLARES </t>
  </si>
  <si>
    <t xml:space="preserve">AQUISIÇÃO DE CADEADOS </t>
  </si>
  <si>
    <t xml:space="preserve">DOCUMENTAÇÃO  DO LOCADOR </t>
  </si>
  <si>
    <t>RETORNO DE SERVIDORA EFETIVA</t>
  </si>
  <si>
    <t>BOLETO DA UNDIME PE</t>
  </si>
  <si>
    <t xml:space="preserve">DEMANDA DE EQUIPAMENTO PARA CAPINAÇÃO </t>
  </si>
  <si>
    <t xml:space="preserve">PROMOTORIA DE JUSTIÇA </t>
  </si>
  <si>
    <t xml:space="preserve">MUDANÇA E FAIXA SALARIAL </t>
  </si>
  <si>
    <t xml:space="preserve">ATENDIMENTO AO OFÍCIO CEI SANTANA </t>
  </si>
  <si>
    <t xml:space="preserve">ATENDIMENTO AO OFÍCIO ELIANE CARNEIRO </t>
  </si>
  <si>
    <t xml:space="preserve">DISPONIBILIZAÇÃO DE MATRICULAS FUNCIONAIS </t>
  </si>
  <si>
    <t xml:space="preserve">COPOS DESCARTACEIS E REMAS DE PAPEL OFÍCIO </t>
  </si>
  <si>
    <t xml:space="preserve">MATERIAIS PARA ESTÁDIO </t>
  </si>
  <si>
    <t xml:space="preserve">PAGAMENTO DE TRABALHADORES </t>
  </si>
  <si>
    <t xml:space="preserve">SOLICITAR ENCANADOR, ELETRICISTA E ROÇADEIRO </t>
  </si>
  <si>
    <t xml:space="preserve">REFLETORES PARA ESTÁDIO </t>
  </si>
  <si>
    <t>Secretario de Serviços Urbanos</t>
  </si>
  <si>
    <t xml:space="preserve">POLDA E LIMPEZA DO ESTÁDIO </t>
  </si>
  <si>
    <t xml:space="preserve">CARRO PIPA </t>
  </si>
  <si>
    <t xml:space="preserve">SOLICITAR GMC PARA O ESTÁDIO </t>
  </si>
  <si>
    <t xml:space="preserve">CONFECÇÕES DE CARIMBO </t>
  </si>
  <si>
    <t xml:space="preserve">SOLICITAR HORAS EXTRAS </t>
  </si>
  <si>
    <t xml:space="preserve">CONTAS BANCARIAS </t>
  </si>
  <si>
    <t xml:space="preserve">HORAS EXTRAS </t>
  </si>
  <si>
    <t xml:space="preserve">CONTRATAÇÃO DE VIGILANTES </t>
  </si>
  <si>
    <t xml:space="preserve">MATERIAIS PARA MAQUINARIOS </t>
  </si>
  <si>
    <t xml:space="preserve">DEMANDA DE OBRAS A SEREM REALIZADAS </t>
  </si>
  <si>
    <t>REPAROS, MANUTENÇÃO E VISTORIAS NAS ESCOLAS</t>
  </si>
  <si>
    <t xml:space="preserve">IMPRESSÕES GRAFICAS DE AVALIAÇÕES </t>
  </si>
  <si>
    <t xml:space="preserve">REDUÇÃO DE CARGA HORÁRIA </t>
  </si>
  <si>
    <t>SOLICITAR RESMA DE PAPEL OFÍCIO</t>
  </si>
  <si>
    <t>ESTUDO TÉCNICO PRELIMINARES  ALIMENTOS ESCOLARES</t>
  </si>
  <si>
    <t xml:space="preserve">REPAROS E MANUTENÇÃO NAS ESCOLAS </t>
  </si>
  <si>
    <t xml:space="preserve">MANUTENÇÃO DE AR CONDICIONADOS NAS ESCOLAS </t>
  </si>
  <si>
    <t>FORMAÇÃO DE AÇÃO INTEGRADA DE GESTORES</t>
  </si>
  <si>
    <t>SOLICITA MIGRAÇÃO CONTRATUAL DE SERVIDOR</t>
  </si>
  <si>
    <t xml:space="preserve">CONTRATO DE FUNDO MUNICIPAL DE EDUCAÇÃO </t>
  </si>
  <si>
    <t>SOLICITAR VISTORIA NOS PREDIOS ( CORPO DE BOMBEIRO )</t>
  </si>
  <si>
    <t>SUBSTITUIÇÃO DE CALENDARIOS GRE</t>
  </si>
  <si>
    <t xml:space="preserve">FORMAÇÃO DE SUAS PE </t>
  </si>
  <si>
    <t xml:space="preserve">PREPARAÇÃO DE AUDITORIO ( MADRE VIRGINIA ) </t>
  </si>
  <si>
    <t>SOLICITAR ADESÃO DA ATA DE REGISTO CONIAPE</t>
  </si>
  <si>
    <t xml:space="preserve">ACEITE PARA FORNECIMENTO ARP CONIAPE </t>
  </si>
  <si>
    <t xml:space="preserve">SOLICIAR COPOS DESCARTAVEIS E PAPEL OFÍCIO </t>
  </si>
  <si>
    <t xml:space="preserve">RESPOSTAS AO PROCESSO JUDICIARIO </t>
  </si>
  <si>
    <t xml:space="preserve">CONTA DA COMPESA CRECHE SANTA TERESINHA </t>
  </si>
  <si>
    <t xml:space="preserve">SOLICITAÇÃO DE BARRAS DE BASQUETE NAS ESCOLAS </t>
  </si>
  <si>
    <t xml:space="preserve">CONTA DA COMPESA PREDIO SEDUC </t>
  </si>
  <si>
    <t xml:space="preserve">CONTA NEOENERGIA </t>
  </si>
  <si>
    <t xml:space="preserve">AQUISIÇÃO DE MATERIAIS DE JOGOS </t>
  </si>
  <si>
    <t xml:space="preserve">CONTA DA NEOENERGIA ESCOLA SÃO JAOQUIM </t>
  </si>
  <si>
    <t xml:space="preserve">OFICIO CIRCULAR JOGOS  65º JCP </t>
  </si>
  <si>
    <t xml:space="preserve">INFORMAÇÕES FINANCEIRAS PROGRAMA ETI </t>
  </si>
  <si>
    <t xml:space="preserve">CREDENCIAMENTOS DE UNIDADES ESCOLARES </t>
  </si>
  <si>
    <t>SOLICITAÇÃO DA QUADRA POLIESPORTIVA DA ETE</t>
  </si>
  <si>
    <t>TAXAS DE REGISTRO DE VEICULOS PARA PAGAMENTO</t>
  </si>
  <si>
    <t xml:space="preserve">SOLICITAR QUADRO BRANCO </t>
  </si>
  <si>
    <t xml:space="preserve">COMPRE DE KIT DE LIMPEZA ESCOLA RUY MEIRA </t>
  </si>
  <si>
    <t xml:space="preserve">AQUISIÇÃO DE MATERIAIS PARA ESCOLA RUY MEIRA </t>
  </si>
  <si>
    <t xml:space="preserve">SOLICITAÇÃO DE PORTEIRO </t>
  </si>
  <si>
    <t>PAGAMENTO DE DCTF</t>
  </si>
  <si>
    <t>FARDAMENTO ESCOLAR ACEITA E ANUÊNCIA</t>
  </si>
  <si>
    <t xml:space="preserve">RESPOSTA AO OFÍCIO NOVA SANTA CRUZ </t>
  </si>
  <si>
    <t xml:space="preserve">MUDANÇA DE FAIXA SALARIAL </t>
  </si>
  <si>
    <t xml:space="preserve">SOLICITAR APOIO DE EQUIPE DE TRANSITO </t>
  </si>
  <si>
    <t>04-0-2025</t>
  </si>
  <si>
    <t>SOLICITAR APOIO DE EQUIPE DE GUARDA MUNICIPAL</t>
  </si>
  <si>
    <t xml:space="preserve">OBRA NO MURO DA ESCOLA CARAMURU </t>
  </si>
  <si>
    <t xml:space="preserve">SOLICITAÇÃO DE PROFESSOR </t>
  </si>
  <si>
    <t xml:space="preserve">AQUISIÇÃO DE CADEADOS PARA ESCOLA IRINEU DE PONTES </t>
  </si>
  <si>
    <t xml:space="preserve">VISITA TÉCNICA CAMERAS ESCOLA IRINEU DE PONTES </t>
  </si>
  <si>
    <t xml:space="preserve">BOLETOS DE PAGAMENTO DA UNDIME </t>
  </si>
  <si>
    <t xml:space="preserve">MATRICULAS DE ALUNOS </t>
  </si>
  <si>
    <t>SOLICITAÇÃO DE AUDITORIO ELIANE CARNEIRO</t>
  </si>
  <si>
    <t xml:space="preserve">ENCAMINHAMENTO DE PATRICIA </t>
  </si>
  <si>
    <t xml:space="preserve">FORMAÇÃO DA EQUIPE SEE </t>
  </si>
  <si>
    <t xml:space="preserve">NECESSIDADE DAS ESCOLAS </t>
  </si>
  <si>
    <t xml:space="preserve">OFÍCIO PR- PE </t>
  </si>
  <si>
    <t xml:space="preserve">OFÍCIO CIRCULAR DS ESCOLAS DA REDE </t>
  </si>
  <si>
    <t xml:space="preserve">IMPLANTAÇÃO NOS VENCIMENTOS DE SERVIDORES </t>
  </si>
  <si>
    <t>SOLICITAÇÃO DE UMA PROFESSORA</t>
  </si>
  <si>
    <t>SOLICITAÇÃO DE UMA MERENDEIRA</t>
  </si>
  <si>
    <t xml:space="preserve">ATENÇÃO ESPECIAL AOS OFÍCIOS </t>
  </si>
  <si>
    <t xml:space="preserve">SOLICITAR CONFECÇÕES DE CARIMBOS </t>
  </si>
  <si>
    <t xml:space="preserve">SOLICITAÇÃO DE ENVELOPES </t>
  </si>
  <si>
    <t>DESLIGAMENTO DE FUNCIONARIA</t>
  </si>
  <si>
    <t xml:space="preserve">RELAÇÃO DE CONTRATOS PARA FOLHA DE ABRIL </t>
  </si>
  <si>
    <t xml:space="preserve">SOLICITAR GMC PARA SEDUC </t>
  </si>
  <si>
    <t xml:space="preserve">CONTA NEOENERGIA SEDUC </t>
  </si>
  <si>
    <t xml:space="preserve">ENCAMINHAMENTO DA SERVIDORA JAQUELINE </t>
  </si>
  <si>
    <t xml:space="preserve">AJUSTE SALARIAL DE MOTORISTA </t>
  </si>
  <si>
    <t xml:space="preserve">NOTA DE OBRAS DA NEOENERGIA </t>
  </si>
  <si>
    <t xml:space="preserve">CONFECÇÃO DE MATERIAL GRAFICO </t>
  </si>
  <si>
    <t xml:space="preserve">REPAROS E MANUTENÇÃO NAS ESCOLAS CEI PETRIBÚ E APARECIDA </t>
  </si>
  <si>
    <t xml:space="preserve">SOLICITA AUMENTO DE PER CAPITA PETE  E SOLICITAÇÃO DE TOLDO PROG. AMOR </t>
  </si>
  <si>
    <t xml:space="preserve">CONTA NEOENERGIA ESCOLA  SANTA TERESINHA </t>
  </si>
  <si>
    <t xml:space="preserve">SOLICITAR GRAMPO </t>
  </si>
  <si>
    <t>DOCUMENTO DOS PARTICIPANTES 21º FORUM UNDIME / PE</t>
  </si>
  <si>
    <t xml:space="preserve">CONTRATAÇÃO DE PROFESSOR PARA BIBLIOTECA PUBLICA </t>
  </si>
  <si>
    <t xml:space="preserve">ENCAMINHAMENTO DE EXONERAÇÃO </t>
  </si>
  <si>
    <t xml:space="preserve">RESPOSTA AO TRIBUNAL DE CONTAS NO OFÍCIO </t>
  </si>
  <si>
    <t xml:space="preserve">CONTA NEOENERGIA CEI SANTA ANA </t>
  </si>
  <si>
    <t xml:space="preserve">ENCAMINHAR ORDEM DE SERVIÇO PARA PAGAMENTO </t>
  </si>
  <si>
    <t xml:space="preserve">CONCESSÃO DE DATA SHOW E TELÃO </t>
  </si>
  <si>
    <t xml:space="preserve">ENCAMINHAMENTO DE OFÍCIO AO MADRE VIRGINIA </t>
  </si>
  <si>
    <t xml:space="preserve">ENCAMINHAMENTO DE OFÍCIO AO SECR. DE TRANSITO </t>
  </si>
  <si>
    <t xml:space="preserve">ENCAMINHAMENTO DE OFÍCIO A ESCOLA MARECHAL RONDON </t>
  </si>
  <si>
    <t xml:space="preserve">SOLICITAÇÃO DE PAGAMENTO </t>
  </si>
  <si>
    <t>SISTEMA DE GERENCIAMENTO</t>
  </si>
  <si>
    <t xml:space="preserve">RESPOSTA DO OFÍCIO </t>
  </si>
  <si>
    <t xml:space="preserve">PARECER AO OFÍCIO </t>
  </si>
  <si>
    <t xml:space="preserve">NOTIFICAÇÃO DE IMPOSIÇÃO DE PENALIDADE </t>
  </si>
  <si>
    <t xml:space="preserve">RECONHECIMENTO DE DIVIDA POSTO CIDADE </t>
  </si>
  <si>
    <t xml:space="preserve">SOLICITAR PSICOPEDAGOGA ESCOLA PINTO LAPA </t>
  </si>
  <si>
    <t xml:space="preserve">ENCAMINHAR 10º TERMO ADITIVO AO CONVENIO DE COOPERAÇÃO </t>
  </si>
  <si>
    <t>ENCAMINHAR OFÍCIO AO ETI / FNDE</t>
  </si>
  <si>
    <t xml:space="preserve">JUIZA DA 3ª VARA CIVIL </t>
  </si>
  <si>
    <t xml:space="preserve">AO CONSELHO TUTELAR DE CARPINA </t>
  </si>
  <si>
    <t xml:space="preserve">RESPOSTA AO CONSELHO TUTELAR </t>
  </si>
  <si>
    <t xml:space="preserve">PROVIDÊNCIA DE RESPOSTA AO MPPE </t>
  </si>
  <si>
    <t xml:space="preserve">SOLICITAÇÃO DE CONTRATO SRº SERGIO LEITAO </t>
  </si>
  <si>
    <t>PROJETO AMIGO DO TRANSITO ( MATERIAIS)</t>
  </si>
  <si>
    <t xml:space="preserve">RESPOSTA A DENUNCIA EDUCAÇÃO INCLUSIVA </t>
  </si>
  <si>
    <t xml:space="preserve">SOLICITAR PORTEIRO CRECHE SANTA TERESINHA </t>
  </si>
  <si>
    <t xml:space="preserve">CONFECÇÃO DE CARIMBOS </t>
  </si>
  <si>
    <t xml:space="preserve">RESPOSTA AO OFÍCIO DO MPPE </t>
  </si>
  <si>
    <t xml:space="preserve">SOLICITA COPIAS NO PROCESSO DE PAGAMENTO </t>
  </si>
  <si>
    <t xml:space="preserve">INCONSISTENCIA NAS ESCOLAS </t>
  </si>
  <si>
    <t xml:space="preserve">ENCAMINHAMENTO DE CONTRATO </t>
  </si>
  <si>
    <t>ENCAMINHAMENTO DE FOLHA DA SEE</t>
  </si>
  <si>
    <t xml:space="preserve">ENCAMINHAMENTO DE NOVOS CONTRATOS </t>
  </si>
  <si>
    <t>RESPOSTA OA OFÍCIO 379/2025</t>
  </si>
  <si>
    <t xml:space="preserve">CONTA NEOENERGIA CHÃ DO MEIO </t>
  </si>
  <si>
    <t>APOIO ESCOLAR (CUIDADORES)</t>
  </si>
  <si>
    <t>RESPOSTA AO OFÍCIO 02208.000.082/2025</t>
  </si>
  <si>
    <t>ENCAMINHAMENTO DE CONTATOS</t>
  </si>
  <si>
    <t xml:space="preserve">ENCAMINHAMENTO DE ORDEM DE SERVIÇOS </t>
  </si>
  <si>
    <t xml:space="preserve">REPAROS, MANUTENÇÃO E VISTORIA NAS ESCOLAS </t>
  </si>
  <si>
    <t xml:space="preserve">RESPOSTA  AO TRIBUNAL DE CONTAS </t>
  </si>
  <si>
    <t>AUMENTO DE CARGA HORARIA DE FUNCIONARIOS</t>
  </si>
  <si>
    <t xml:space="preserve">RECONDUÇÃO CONTRATUAL </t>
  </si>
  <si>
    <t xml:space="preserve">REGULARIZAÇÃO MARIA E. FONTES </t>
  </si>
  <si>
    <t>RETIRADA DE GRATIFICAÇÕES CCS</t>
  </si>
  <si>
    <t xml:space="preserve">RETROATIVO SALARIAL DE SERVIDORES </t>
  </si>
  <si>
    <t>SOLICITAÇÃO DE PROFESSOR</t>
  </si>
  <si>
    <t xml:space="preserve">CONTRTAÇÃO DE SERVIDOR </t>
  </si>
  <si>
    <t xml:space="preserve">SOLICITAÇÃO DE AUMENTO DE CARGA HORARIA SOFIA ADELINA </t>
  </si>
  <si>
    <t xml:space="preserve">SOLICITAÇÃO DE PSICOPEGOGA </t>
  </si>
  <si>
    <t xml:space="preserve">SOLICITAÇÃO DE ADICIONAL </t>
  </si>
  <si>
    <t xml:space="preserve">RESPOSTA PARA CONSELHO DE PESSOAS COM DEFICIÊNCA </t>
  </si>
  <si>
    <t xml:space="preserve">SOLICITAÇÃO DE SUPLEMENTÇÃO ORÇAMENTARIA </t>
  </si>
  <si>
    <t>FORNECIMENTO DE MATERIAL DE EXPEDIENTE</t>
  </si>
  <si>
    <t>AQUISIÇÕ PARA MATERIAL PARA EVENTO (CINEMA )</t>
  </si>
  <si>
    <t xml:space="preserve">SOLICITAR RESMAS DE PAPEL OFÍCIO </t>
  </si>
  <si>
    <t>CHEFE DE GABINETE</t>
  </si>
  <si>
    <t xml:space="preserve">ENCAMINHAMENTO DE CONTRATOS </t>
  </si>
  <si>
    <t xml:space="preserve">SOLICITAÇÃO DE PROFESSOR POLIVALENTE </t>
  </si>
  <si>
    <t xml:space="preserve">SOLICITAÇÃO DE PROFESSOR DE PORTUGUES </t>
  </si>
  <si>
    <t>ENCAMINHAMENTO DE INCONSISTÊNCIAS</t>
  </si>
  <si>
    <t>ENCAMINHAMENTO DE CONTRATO</t>
  </si>
  <si>
    <t>RESPOSTA DO OFÍCIO DO MPPE</t>
  </si>
  <si>
    <t>OFICIO A RESPOSTA PRA EMPRESA ALPARGATAS S/A</t>
  </si>
  <si>
    <t xml:space="preserve">SOLICITAÇÃO PROVA DO PETE </t>
  </si>
  <si>
    <t>OFÍCIO SOBRE DEMANDA DA BIBLIOTECA  PÚBLICA</t>
  </si>
  <si>
    <t>SOLICITAR ADESÃO A ATA DE REGISTRO DE PRECO CONIAPE</t>
  </si>
  <si>
    <t xml:space="preserve">SOLICITAÇÃO DE ACEITE DE FORNECIMENTO PMC CONIAPE </t>
  </si>
  <si>
    <t>INDICAÇÃO AO CONSELHO DE ESTUDANTE</t>
  </si>
  <si>
    <t>INDICAÇÃO AO CONSELHO DE PAIS</t>
  </si>
  <si>
    <t xml:space="preserve">INDICAÇÃO AO CONSELHO DE DIRETORES </t>
  </si>
  <si>
    <t>INDICAÇÃO AO CONSELHO DE SINSEMUC</t>
  </si>
  <si>
    <t xml:space="preserve">INDICAÇÃO AO CONSELHO DE EXECULTIVO </t>
  </si>
  <si>
    <t>INDICAÇÃO AO CONSELHO DE DO CONSELHO TUTELAR</t>
  </si>
  <si>
    <t>OFÍCIO DE RETIFICAÇÃO DE DATA -OFÍCIO Nº 467</t>
  </si>
  <si>
    <t>PAGAMENTO DE SERVIÇO CONTABIL DO DCTF</t>
  </si>
  <si>
    <t xml:space="preserve">CONTA DA COMPESA SEDUC </t>
  </si>
  <si>
    <t>CONTA DA COMPESA CRECHE SANTA TERESINHA</t>
  </si>
  <si>
    <t xml:space="preserve">RECONHECIMENTO DE DIVIDA IMOVEL SEDUC </t>
  </si>
  <si>
    <t>CONTA DA COMPESA CEI SANTANA</t>
  </si>
  <si>
    <t xml:space="preserve">NOTIFICAÇÃO DETRAN </t>
  </si>
  <si>
    <t>CONTRATAÇÃO DE FUNCIONARIO PRA QUADRA POLIESPORTIVA</t>
  </si>
  <si>
    <t xml:space="preserve">RECONHECIMENTO DE DIVIDA IMOVEL CASA ROSA </t>
  </si>
  <si>
    <t xml:space="preserve">FORNECIMENTO DE MATERIAL DE EXPEDIENTE </t>
  </si>
  <si>
    <t xml:space="preserve">ALTERAÇÃO DE FUNÇÃO SERVIDOR </t>
  </si>
  <si>
    <t>FORNECIMENTO DE MATERIAL DE LIMPEZA</t>
  </si>
  <si>
    <t xml:space="preserve">TAXA DE MULTA DE TRANSITO </t>
  </si>
  <si>
    <t xml:space="preserve">RESPOSTA AO OFÍCIO TÂNIA REGINA </t>
  </si>
  <si>
    <t>RESPOSTA AO OFÍCIO CREF-12</t>
  </si>
  <si>
    <t xml:space="preserve">INSTALAÇÃO DE INTERNET CRECHE SANTA TERESINHA </t>
  </si>
  <si>
    <t xml:space="preserve">SOLICITAÇÃO DE SERVIDORES ATIVIDADES EXTERNAS </t>
  </si>
  <si>
    <t xml:space="preserve">REPARO NO TELHADO ESCOLA PIO X </t>
  </si>
  <si>
    <t xml:space="preserve">SOLICITAÇÃO DE CONCESSÃO DE HORAS EXTRA </t>
  </si>
  <si>
    <t xml:space="preserve">ENCAMINHAMENTO DE CONTRATO WILBES </t>
  </si>
  <si>
    <t xml:space="preserve">ENCAMINHAMENTO DE DESLIGAMENTO DE PROFESSOR </t>
  </si>
  <si>
    <t xml:space="preserve">ENCAMINHAMENTO OF. SOLICITAÇÃO MARECHAL RONDON </t>
  </si>
  <si>
    <t xml:space="preserve">SOLICITAÇÃO DE ELETRICISTA MARECHAL RONDON </t>
  </si>
  <si>
    <t xml:space="preserve">ENVIO DE DADOS BANCARIOS </t>
  </si>
  <si>
    <t xml:space="preserve">DEMANDA DE KIT ESCOLAR </t>
  </si>
  <si>
    <t>SOLICITAÇÃO DE PROFESSOR PRA PINTO LAPA</t>
  </si>
  <si>
    <t xml:space="preserve">SOLICITAÇÃO DE CADEIRAS E MESAS PARA BELA VISTA </t>
  </si>
  <si>
    <t xml:space="preserve">SOLICITAÇÃO DE EXONERAÇÃO </t>
  </si>
  <si>
    <t>REVISÃO DE VEICULO SPIN</t>
  </si>
  <si>
    <t xml:space="preserve">ENCAMINHAR CONTRATO DE PRESTAÇÃO DE SERVIÇOS </t>
  </si>
  <si>
    <t xml:space="preserve">FALTA DE FUNCIONARIO </t>
  </si>
  <si>
    <t>RESPOSTA  A PROMOTORIA  DE JUSTIÇA</t>
  </si>
  <si>
    <t xml:space="preserve">OFÍCIO DE SERVIDORA DO MARECHAL RONDON </t>
  </si>
  <si>
    <t xml:space="preserve">DESLIGAMENTO SRª RAFAELA ARAUJO </t>
  </si>
  <si>
    <t xml:space="preserve">DESLIGAMENTO SRª TEREZA CRISTINA </t>
  </si>
  <si>
    <t xml:space="preserve">ENVIO DE DOCUMENTAÇÃO </t>
  </si>
  <si>
    <t xml:space="preserve">ENVIO DE DOCUMENTAÇÃO HOSANA </t>
  </si>
  <si>
    <t>ENVIO DE DOCUMENTAÇÃO DAYVSON</t>
  </si>
  <si>
    <t xml:space="preserve">EXONERAÇÃO E SUBSTITUIÇÃO DE SERVIDORES </t>
  </si>
  <si>
    <t>RESPOSTA AO OFÍCIO Nº 085/2025</t>
  </si>
  <si>
    <t>RESPOSTA AO MINISTERIO PUBLICO (JOÃO VICTOR)</t>
  </si>
  <si>
    <t>OFÍCIO DE AUMENTO PER CAPITA PETE</t>
  </si>
  <si>
    <t xml:space="preserve">SOLICITAÇÃO DE TENDA CEI PETRIBU </t>
  </si>
  <si>
    <t xml:space="preserve">CONCESSÃO DE HORAS EXTRAS </t>
  </si>
  <si>
    <t xml:space="preserve">INCONSISTÊNCIA DA FOLHA DE ABRIL </t>
  </si>
  <si>
    <t xml:space="preserve">ENCAMINHAMENTOS DE DOCUMENTO SERVIDOR </t>
  </si>
  <si>
    <t xml:space="preserve">OFÍCIO SOBRE SITUAÇÃO DE DEYVISON </t>
  </si>
  <si>
    <t xml:space="preserve">SOLICITAR COPOS DESCARTAVEIS E RESMA DE OFÍCIO </t>
  </si>
  <si>
    <t xml:space="preserve">LOTAÇÃO DE PROFESSOR </t>
  </si>
  <si>
    <t>ENCAMINHAMENTO DE LAUDO MEDICO DE SERVIDOR</t>
  </si>
  <si>
    <t xml:space="preserve">RESPOSTA AO OFÍCIO (PROCURADOR DA REPUBLICA) </t>
  </si>
  <si>
    <t>ENCAMINHAMENTO DE DADOS BANCARIOS (JOANA MARIA )</t>
  </si>
  <si>
    <t xml:space="preserve">OFÍCIO TINTA PARA BIBLIOTECA </t>
  </si>
  <si>
    <t>SOLICITAÇÃO TI DA SEE ( NECESSIDADE)</t>
  </si>
  <si>
    <t xml:space="preserve">REAJUSTE SALARIAL (MIRIAN) </t>
  </si>
  <si>
    <t>REAJUSTE SALARIAL (ANGRA)</t>
  </si>
  <si>
    <t>RECONHECIMENTO DE DIVIDA IMOVEL (SAO JOAQUIM CARAUBA )</t>
  </si>
  <si>
    <t xml:space="preserve">SUBSTITUIÇÃO DE DOCENTE POR LICENÇA PREMIO </t>
  </si>
  <si>
    <t>LICENÇA PRÊMIO (APOSENTADORIA)</t>
  </si>
  <si>
    <t xml:space="preserve">DOTAÇÃO ORÇAMENTARIA </t>
  </si>
  <si>
    <t xml:space="preserve">SOLICITA CONTRATAÇÃO DE PROFESSOR </t>
  </si>
  <si>
    <t xml:space="preserve">PLANILHA DE INCONSISTENCIA </t>
  </si>
  <si>
    <t>RESPOSTA AO DPCA</t>
  </si>
  <si>
    <t xml:space="preserve">RESPOSTA AO MPPE - ALUNO QUE NAO E DA REDE </t>
  </si>
  <si>
    <t>RECONHECIMENTO DE DIVIDA IMOVEL (MADRE VIRGINIA )</t>
  </si>
  <si>
    <t xml:space="preserve">CONTA DA NEOENERGIA DA SEDUC </t>
  </si>
  <si>
    <t>RECONHECIMENTO DE DIVIDA IMOVEL ( LUNA FILHO )</t>
  </si>
  <si>
    <t xml:space="preserve">COMPRAS PARA OS JOGOS </t>
  </si>
  <si>
    <t xml:space="preserve">COMPRAS DE MATERIAIS PARA ESTADIO </t>
  </si>
  <si>
    <t>CONTA DA NEOENERGIA DA CEI SANTANA</t>
  </si>
  <si>
    <t>RECONHECIMENTO DE DIVIDA IMOVEL ( NOVA STª CRUZ )</t>
  </si>
  <si>
    <t>TERMO DE CONTRIBUIÇAO WANELLY CABRAL</t>
  </si>
  <si>
    <t>LICENÇA PRÊMIO (RUSSICLE)</t>
  </si>
  <si>
    <t>LICENÇA PRÊMIO (EDILENE)</t>
  </si>
  <si>
    <t xml:space="preserve">FORNECIMENTO DE FRALDAS DESCARTAVEIS E MATERIAL DE HIGIENE </t>
  </si>
  <si>
    <t xml:space="preserve">SOLICITAÇÃO DE MUDANÇA DE CATEGORIA DE MOTORISTA </t>
  </si>
  <si>
    <t xml:space="preserve">SOLICITAÇÃO DE HORAS EXTRAS ( LUIZ FELIPE ) </t>
  </si>
  <si>
    <t>CONTROLE DE OFÍCIO CIRCULARES - 2025</t>
  </si>
  <si>
    <t>Destinos</t>
  </si>
  <si>
    <t>09/04/2025</t>
  </si>
  <si>
    <t>Convite para evento com Escola de Aprendiz de Marinheiro no Auditório da Prefeitura</t>
  </si>
  <si>
    <t>Escolas de Carpina</t>
  </si>
  <si>
    <t>06/10/2025</t>
  </si>
  <si>
    <t>Expedientes dia 08 e 12</t>
  </si>
  <si>
    <t>Comunica sobre a Transferência dos feriados dos dias 15 e 28</t>
  </si>
  <si>
    <t>07/10/2025</t>
  </si>
  <si>
    <t>Solicita o uso de detectores de metais nas escolas</t>
  </si>
  <si>
    <t>08/10/2025</t>
  </si>
  <si>
    <t>Informa a data de aplicação das provas do SAEB</t>
  </si>
  <si>
    <t>Responsáveis</t>
  </si>
  <si>
    <t>Diogo Prado</t>
  </si>
  <si>
    <t>Kassia Vera Cruz Zamorano Grassi</t>
  </si>
  <si>
    <t>Ana Paula</t>
  </si>
  <si>
    <t>Izaura Pessoa</t>
  </si>
  <si>
    <t>Edson</t>
  </si>
  <si>
    <t>Marta Guerra</t>
  </si>
  <si>
    <t>Fabrício</t>
  </si>
  <si>
    <t>Secretaria de Desenvolvimento Econômico, Indústria e Comércio</t>
  </si>
  <si>
    <t>Rafaela Britto</t>
  </si>
  <si>
    <t>Flávia</t>
  </si>
  <si>
    <t>Marcelo Pascoal</t>
  </si>
  <si>
    <t>Rosejara Ramos</t>
  </si>
  <si>
    <t>Lucas Israel</t>
  </si>
  <si>
    <t>Luzivânia</t>
  </si>
  <si>
    <t>Tiago Grassi</t>
  </si>
  <si>
    <t>Giovanni José</t>
  </si>
  <si>
    <t>Marcelo Gomes</t>
  </si>
  <si>
    <t>Patrícia Amélia</t>
  </si>
  <si>
    <t>Mercês Silveira</t>
  </si>
  <si>
    <t>Stefhane Hellem</t>
  </si>
  <si>
    <t>Tiago</t>
  </si>
  <si>
    <t>Roberval Araújo</t>
  </si>
  <si>
    <t>Rafael Araújo</t>
  </si>
  <si>
    <t>Wiguivaldo Patriota Santos</t>
  </si>
  <si>
    <t>Jorge Lapa</t>
  </si>
  <si>
    <t>Rodrigo Pires</t>
  </si>
  <si>
    <t>Silvio Mendes</t>
  </si>
  <si>
    <t xml:space="preserve">Cartório do 1º ofício </t>
  </si>
  <si>
    <t>Cadastrados &lt;1700</t>
  </si>
  <si>
    <t>Cadastrados total</t>
  </si>
  <si>
    <t>Faltando:</t>
  </si>
  <si>
    <t>Não vazias</t>
  </si>
  <si>
    <t>Total de ofícios:</t>
  </si>
  <si>
    <t>Total de ofícios registrados:</t>
  </si>
  <si>
    <t>Total de ofícios a serem registrados:</t>
  </si>
  <si>
    <t>Total de ofícios por responsáveis:</t>
  </si>
  <si>
    <t>Total de ofícios por meses: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</si>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</sst>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/m/yyyy"/>
    <numFmt numFmtId="166" formatCode="d/m/yy"/>
    <numFmt numFmtId="167" formatCode="0000"/>
  </numFmts>
  <fonts count="12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2.0"/>
      <color theme="1"/>
      <name val="Arial"/>
    </font>
    <font>
      <sz val="12.0"/>
      <color rgb="FF000000"/>
      <name val="Arial"/>
    </font>
    <font>
      <color theme="1"/>
      <name val="Calibri"/>
    </font>
    <font>
      <b/>
      <sz val="12.0"/>
      <color theme="0"/>
      <name val="Arial"/>
    </font>
    <font>
      <sz val="11.0"/>
      <color theme="1"/>
      <name val="Calibri"/>
    </font>
    <font>
      <sz val="11.0"/>
      <color rgb="FFFFFFFF"/>
      <name val="Arial"/>
    </font>
    <font>
      <sz val="11.0"/>
      <color theme="1"/>
      <name val="Arial"/>
    </font>
    <font>
      <sz val="12.0"/>
      <color rgb="FFFFFFFF"/>
      <name val="Arial"/>
    </font>
    <font>
      <sz val="48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7030A0"/>
        <bgColor rgb="FF7030A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C99FF"/>
        <bgColor rgb="FFCC99FF"/>
      </patternFill>
    </fill>
    <fill>
      <patternFill patternType="solid">
        <fgColor rgb="FFC00000"/>
        <bgColor rgb="FFC00000"/>
      </patternFill>
    </fill>
    <fill>
      <patternFill patternType="solid">
        <fgColor rgb="FFFF5050"/>
        <bgColor rgb="FFFF5050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</fills>
  <borders count="7">
    <border/>
    <border>
      <left/>
      <top/>
      <bottom/>
    </border>
    <border>
      <top/>
      <bottom/>
    </border>
    <border>
      <left/>
      <right/>
      <top/>
      <bottom/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3" fillId="4" fontId="3" numFmtId="0" xfId="0" applyAlignment="1" applyBorder="1" applyFill="1" applyFont="1">
      <alignment horizontal="left" vertical="center"/>
    </xf>
    <xf borderId="3" fillId="4" fontId="3" numFmtId="49" xfId="0" applyAlignment="1" applyBorder="1" applyFont="1" applyNumberFormat="1">
      <alignment vertical="center"/>
    </xf>
    <xf borderId="3" fillId="4" fontId="3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vertical="center"/>
    </xf>
    <xf borderId="0" fillId="0" fontId="3" numFmtId="0" xfId="0" applyFont="1"/>
    <xf borderId="3" fillId="5" fontId="3" numFmtId="0" xfId="0" applyAlignment="1" applyBorder="1" applyFill="1" applyFont="1">
      <alignment horizontal="left" vertical="center"/>
    </xf>
    <xf borderId="3" fillId="5" fontId="3" numFmtId="0" xfId="0" applyAlignment="1" applyBorder="1" applyFont="1">
      <alignment vertical="center"/>
    </xf>
    <xf borderId="0" fillId="0" fontId="3" numFmtId="165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6" fontId="3" numFmtId="0" xfId="0" applyAlignment="1" applyFill="1" applyFont="1">
      <alignment vertical="center"/>
    </xf>
    <xf borderId="0" fillId="5" fontId="3" numFmtId="164" xfId="0" applyAlignment="1" applyFont="1" applyNumberFormat="1">
      <alignment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6" fontId="3" numFmtId="0" xfId="0" applyAlignment="1" applyFont="1">
      <alignment horizontal="left" vertical="center"/>
    </xf>
    <xf borderId="0" fillId="6" fontId="3" numFmtId="164" xfId="0" applyAlignment="1" applyFont="1" applyNumberFormat="1">
      <alignment vertical="center"/>
    </xf>
    <xf borderId="0" fillId="6" fontId="5" numFmtId="0" xfId="0" applyFont="1"/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3" numFmtId="0" xfId="0" applyAlignment="1" applyFont="1">
      <alignment horizontal="left" readingOrder="0" vertical="center"/>
    </xf>
    <xf borderId="1" fillId="3" fontId="6" numFmtId="0" xfId="0" applyAlignment="1" applyBorder="1" applyFont="1">
      <alignment horizontal="center" vertical="center"/>
    </xf>
    <xf borderId="3" fillId="7" fontId="3" numFmtId="0" xfId="0" applyAlignment="1" applyBorder="1" applyFill="1" applyFont="1">
      <alignment horizontal="left" vertical="center"/>
    </xf>
    <xf borderId="3" fillId="7" fontId="3" numFmtId="49" xfId="0" applyAlignment="1" applyBorder="1" applyFont="1" applyNumberFormat="1">
      <alignment vertical="center"/>
    </xf>
    <xf borderId="3" fillId="7" fontId="3" numFmtId="0" xfId="0" applyAlignment="1" applyBorder="1" applyFont="1">
      <alignment vertical="center"/>
    </xf>
    <xf borderId="0" fillId="0" fontId="3" numFmtId="167" xfId="0" applyAlignment="1" applyFont="1" applyNumberFormat="1">
      <alignment horizontal="left" vertical="center"/>
    </xf>
    <xf borderId="0" fillId="0" fontId="3" numFmtId="14" xfId="0" applyAlignment="1" applyFont="1" applyNumberFormat="1">
      <alignment vertical="center"/>
    </xf>
    <xf borderId="0" fillId="0" fontId="3" numFmtId="49" xfId="0" applyAlignment="1" applyFont="1" applyNumberFormat="1">
      <alignment vertical="center"/>
    </xf>
    <xf borderId="1" fillId="8" fontId="6" numFmtId="2" xfId="0" applyAlignment="1" applyBorder="1" applyFill="1" applyFont="1" applyNumberFormat="1">
      <alignment horizontal="center" vertical="center"/>
    </xf>
    <xf borderId="3" fillId="9" fontId="3" numFmtId="2" xfId="0" applyAlignment="1" applyBorder="1" applyFill="1" applyFont="1" applyNumberFormat="1">
      <alignment horizontal="left" vertical="center"/>
    </xf>
    <xf borderId="3" fillId="9" fontId="3" numFmtId="0" xfId="0" applyAlignment="1" applyBorder="1" applyFont="1">
      <alignment vertical="center"/>
    </xf>
    <xf borderId="0" fillId="0" fontId="3" numFmtId="2" xfId="0" applyAlignment="1" applyFont="1" applyNumberFormat="1">
      <alignment horizontal="left" vertical="center"/>
    </xf>
    <xf borderId="0" fillId="0" fontId="7" numFmtId="2" xfId="0" applyFont="1" applyNumberFormat="1"/>
    <xf borderId="0" fillId="7" fontId="3" numFmtId="0" xfId="0" applyFont="1"/>
    <xf borderId="3" fillId="7" fontId="3" numFmtId="0" xfId="0" applyBorder="1" applyFont="1"/>
    <xf borderId="0" fillId="0" fontId="8" numFmtId="0" xfId="0" applyFont="1"/>
    <xf borderId="0" fillId="0" fontId="9" numFmtId="0" xfId="0" applyFont="1"/>
    <xf borderId="1" fillId="3" fontId="10" numFmtId="0" xfId="0" applyAlignment="1" applyBorder="1" applyFont="1">
      <alignment horizontal="left"/>
    </xf>
    <xf borderId="1" fillId="10" fontId="10" numFmtId="0" xfId="0" applyAlignment="1" applyBorder="1" applyFill="1" applyFont="1">
      <alignment horizontal="left"/>
    </xf>
    <xf borderId="1" fillId="8" fontId="10" numFmtId="0" xfId="0" applyAlignment="1" applyBorder="1" applyFont="1">
      <alignment horizontal="center"/>
    </xf>
    <xf borderId="4" fillId="7" fontId="11" numFmtId="0" xfId="0" applyAlignment="1" applyBorder="1" applyFont="1">
      <alignment horizontal="center" vertical="center"/>
    </xf>
    <xf borderId="5" fillId="0" fontId="2" numFmtId="0" xfId="0" applyBorder="1" applyFont="1"/>
    <xf borderId="4" fillId="11" fontId="11" numFmtId="0" xfId="0" applyAlignment="1" applyBorder="1" applyFill="1" applyFont="1">
      <alignment horizontal="center" vertical="center"/>
    </xf>
    <xf borderId="4" fillId="9" fontId="11" numFmtId="0" xfId="0" applyAlignment="1" applyBorder="1" applyFont="1">
      <alignment horizontal="center" vertical="center"/>
    </xf>
    <xf borderId="6" fillId="0" fontId="2" numFmtId="0" xfId="0" applyBorder="1" applyFont="1"/>
    <xf borderId="1" fillId="3" fontId="8" numFmtId="0" xfId="0" applyAlignment="1" applyBorder="1" applyFont="1">
      <alignment horizontal="left"/>
    </xf>
    <xf borderId="1" fillId="10" fontId="8" numFmtId="0" xfId="0" applyAlignment="1" applyBorder="1" applyFont="1">
      <alignment horizontal="left"/>
    </xf>
    <xf borderId="0" fillId="0" fontId="9" numFmtId="0" xfId="0" applyAlignment="1" applyFont="1">
      <alignment vertical="center"/>
    </xf>
    <xf borderId="0" fillId="0" fontId="7" numFmtId="0" xfId="0" applyFont="1"/>
  </cellXfs>
  <cellStyles count="1">
    <cellStyle xfId="0" name="Normal" builtinId="0"/>
  </cellStyles>
  <dxfs count="2">
    <dxf>
      <font>
        <strike/>
        <color theme="5"/>
      </font>
      <fill>
        <patternFill patternType="none"/>
      </fill>
      <border>
        <bottom style="thin">
          <color theme="5"/>
        </bottom>
      </border>
    </dxf>
    <dxf>
      <font>
        <color rgb="FF00B050"/>
      </font>
      <fill>
        <patternFill patternType="none"/>
      </fill>
      <border>
        <bottom style="thin">
          <color rgb="FF00B05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Dashboard!$H$12:$H$23</c:f>
            </c:strRef>
          </c:cat>
          <c:val>
            <c:numRef>
              <c:f>Dashboard!$I$12:$I$23</c:f>
              <c:numCache/>
            </c:numRef>
          </c:val>
        </c:ser>
        <c:axId val="692997049"/>
        <c:axId val="1724367645"/>
      </c:barChart>
      <c:catAx>
        <c:axId val="692997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4367645"/>
      </c:catAx>
      <c:valAx>
        <c:axId val="172436764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9299704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6867525</xdr:colOff>
      <xdr:row>0</xdr:row>
      <xdr:rowOff>0</xdr:rowOff>
    </xdr:from>
    <xdr:ext cx="5143500" cy="4476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6438900</xdr:colOff>
      <xdr:row>0</xdr:row>
      <xdr:rowOff>9525</xdr:rowOff>
    </xdr:from>
    <xdr:ext cx="5295900" cy="41910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5848350</xdr:colOff>
      <xdr:row>0</xdr:row>
      <xdr:rowOff>9525</xdr:rowOff>
    </xdr:from>
    <xdr:ext cx="5343525" cy="4286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10</xdr:row>
      <xdr:rowOff>171450</xdr:rowOff>
    </xdr:from>
    <xdr:ext cx="6248400" cy="3276600"/>
    <xdr:graphicFrame>
      <xdr:nvGraphicFramePr>
        <xdr:cNvPr id="53005370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0</xdr:row>
      <xdr:rowOff>0</xdr:rowOff>
    </xdr:from>
    <xdr:ext cx="5086350" cy="419100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5086350" cy="419100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99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103.14"/>
    <col customWidth="1" min="4" max="4" width="33.0"/>
    <col customWidth="1" min="5" max="5" width="22.71"/>
    <col customWidth="1" min="6" max="6" width="21.29"/>
    <col customWidth="1" min="7" max="24" width="8.71"/>
  </cols>
  <sheetData>
    <row r="1" ht="36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1.0" customHeight="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8"/>
      <c r="B3" s="9"/>
      <c r="C3" s="4"/>
      <c r="D3" s="8"/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8">
        <v>1700.0</v>
      </c>
      <c r="B4" s="9">
        <v>45904.0</v>
      </c>
      <c r="C4" s="4" t="s">
        <v>7</v>
      </c>
      <c r="D4" s="8" t="s">
        <v>8</v>
      </c>
      <c r="E4" s="8"/>
      <c r="F4" s="4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8">
        <v>1701.0</v>
      </c>
      <c r="B5" s="9">
        <v>45904.0</v>
      </c>
      <c r="C5" s="4" t="s">
        <v>10</v>
      </c>
      <c r="D5" s="8" t="s">
        <v>11</v>
      </c>
      <c r="E5" s="8"/>
      <c r="F5" s="4" t="s">
        <v>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8">
        <v>1702.0</v>
      </c>
      <c r="B6" s="9">
        <v>45904.0</v>
      </c>
      <c r="C6" s="4" t="s">
        <v>12</v>
      </c>
      <c r="D6" s="8" t="s">
        <v>13</v>
      </c>
      <c r="E6" s="8"/>
      <c r="F6" s="4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8">
        <v>1703.0</v>
      </c>
      <c r="B7" s="9">
        <v>45904.0</v>
      </c>
      <c r="C7" s="4" t="s">
        <v>15</v>
      </c>
      <c r="D7" s="8" t="s">
        <v>11</v>
      </c>
      <c r="E7" s="8"/>
      <c r="F7" s="4" t="s">
        <v>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8">
        <v>1704.0</v>
      </c>
      <c r="B8" s="9">
        <v>45904.0</v>
      </c>
      <c r="C8" s="4" t="s">
        <v>16</v>
      </c>
      <c r="D8" s="8" t="s">
        <v>17</v>
      </c>
      <c r="E8" s="8"/>
      <c r="F8" s="4" t="s">
        <v>18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8">
        <v>1705.0</v>
      </c>
      <c r="B9" s="9">
        <v>45904.0</v>
      </c>
      <c r="C9" s="4" t="s">
        <v>19</v>
      </c>
      <c r="D9" s="8" t="s">
        <v>20</v>
      </c>
      <c r="E9" s="8"/>
      <c r="F9" s="4" t="s">
        <v>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8">
        <v>1706.0</v>
      </c>
      <c r="B10" s="9">
        <v>45904.0</v>
      </c>
      <c r="C10" s="4" t="s">
        <v>21</v>
      </c>
      <c r="D10" s="8" t="s">
        <v>22</v>
      </c>
      <c r="E10" s="8"/>
      <c r="F10" s="4" t="s">
        <v>23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8">
        <v>1707.0</v>
      </c>
      <c r="B11" s="9">
        <v>45904.0</v>
      </c>
      <c r="C11" s="4" t="s">
        <v>24</v>
      </c>
      <c r="D11" s="8" t="s">
        <v>25</v>
      </c>
      <c r="E11" s="8"/>
      <c r="F11" s="4" t="s">
        <v>26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8">
        <v>1708.0</v>
      </c>
      <c r="B12" s="9">
        <v>45904.0</v>
      </c>
      <c r="C12" s="4" t="s">
        <v>27</v>
      </c>
      <c r="D12" s="8" t="s">
        <v>13</v>
      </c>
      <c r="E12" s="8"/>
      <c r="F12" s="4" t="s">
        <v>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8">
        <v>1709.0</v>
      </c>
      <c r="B13" s="9">
        <v>45905.0</v>
      </c>
      <c r="C13" s="4" t="s">
        <v>28</v>
      </c>
      <c r="D13" s="8" t="s">
        <v>29</v>
      </c>
      <c r="E13" s="8" t="s">
        <v>30</v>
      </c>
      <c r="F13" s="4" t="s">
        <v>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8">
        <v>1710.0</v>
      </c>
      <c r="B14" s="9">
        <v>45905.0</v>
      </c>
      <c r="C14" s="4" t="s">
        <v>31</v>
      </c>
      <c r="D14" s="8" t="s">
        <v>17</v>
      </c>
      <c r="E14" s="8"/>
      <c r="F14" s="4" t="s">
        <v>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8">
        <v>1711.0</v>
      </c>
      <c r="B15" s="9">
        <v>45905.0</v>
      </c>
      <c r="C15" s="4" t="s">
        <v>32</v>
      </c>
      <c r="D15" s="8" t="s">
        <v>13</v>
      </c>
      <c r="E15" s="8" t="s">
        <v>29</v>
      </c>
      <c r="F15" s="4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8">
        <v>1712.0</v>
      </c>
      <c r="B16" s="9">
        <v>45905.0</v>
      </c>
      <c r="C16" s="4" t="s">
        <v>33</v>
      </c>
      <c r="D16" s="8" t="s">
        <v>34</v>
      </c>
      <c r="E16" s="8"/>
      <c r="F16" s="4" t="s">
        <v>35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8">
        <v>1713.0</v>
      </c>
      <c r="B17" s="9">
        <v>45905.0</v>
      </c>
      <c r="C17" s="4" t="s">
        <v>36</v>
      </c>
      <c r="D17" s="8" t="s">
        <v>11</v>
      </c>
      <c r="E17" s="8"/>
      <c r="F17" s="4" t="s">
        <v>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8">
        <v>1714.0</v>
      </c>
      <c r="B18" s="9">
        <v>45905.0</v>
      </c>
      <c r="C18" s="4" t="s">
        <v>37</v>
      </c>
      <c r="D18" s="8" t="s">
        <v>13</v>
      </c>
      <c r="E18" s="8" t="s">
        <v>29</v>
      </c>
      <c r="F18" s="4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8">
        <v>1715.0</v>
      </c>
      <c r="B19" s="9">
        <v>45905.0</v>
      </c>
      <c r="C19" s="4" t="s">
        <v>38</v>
      </c>
      <c r="D19" s="8" t="s">
        <v>13</v>
      </c>
      <c r="E19" s="8" t="s">
        <v>29</v>
      </c>
      <c r="F19" s="4" t="s">
        <v>23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8">
        <v>1716.0</v>
      </c>
      <c r="B20" s="9">
        <v>45905.0</v>
      </c>
      <c r="C20" s="4" t="s">
        <v>39</v>
      </c>
      <c r="D20" s="8" t="s">
        <v>13</v>
      </c>
      <c r="E20" s="8" t="s">
        <v>29</v>
      </c>
      <c r="F20" s="4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8">
        <v>1717.0</v>
      </c>
      <c r="B21" s="9">
        <v>45905.0</v>
      </c>
      <c r="C21" s="4" t="s">
        <v>40</v>
      </c>
      <c r="D21" s="8" t="s">
        <v>13</v>
      </c>
      <c r="E21" s="8" t="s">
        <v>29</v>
      </c>
      <c r="F21" s="4" t="s">
        <v>23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8">
        <v>1718.0</v>
      </c>
      <c r="B22" s="9">
        <v>45905.0</v>
      </c>
      <c r="C22" s="4" t="s">
        <v>41</v>
      </c>
      <c r="D22" s="8" t="s">
        <v>13</v>
      </c>
      <c r="E22" s="8" t="s">
        <v>29</v>
      </c>
      <c r="F22" s="4" t="s">
        <v>23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8">
        <v>1719.0</v>
      </c>
      <c r="B23" s="9">
        <v>45905.0</v>
      </c>
      <c r="C23" s="4" t="s">
        <v>42</v>
      </c>
      <c r="D23" s="8" t="s">
        <v>25</v>
      </c>
      <c r="E23" s="8"/>
      <c r="F23" s="4" t="s">
        <v>26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8">
        <v>1720.0</v>
      </c>
      <c r="B24" s="9">
        <v>45905.0</v>
      </c>
      <c r="C24" s="4" t="s">
        <v>43</v>
      </c>
      <c r="D24" s="8" t="s">
        <v>13</v>
      </c>
      <c r="E24" s="8" t="s">
        <v>29</v>
      </c>
      <c r="F24" s="4" t="s">
        <v>23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8">
        <v>1721.0</v>
      </c>
      <c r="B25" s="9">
        <v>45905.0</v>
      </c>
      <c r="C25" s="4" t="s">
        <v>44</v>
      </c>
      <c r="D25" s="8" t="s">
        <v>13</v>
      </c>
      <c r="E25" s="8" t="s">
        <v>29</v>
      </c>
      <c r="F25" s="4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8">
        <v>1722.0</v>
      </c>
      <c r="B26" s="9">
        <v>45905.0</v>
      </c>
      <c r="C26" s="4" t="s">
        <v>45</v>
      </c>
      <c r="D26" s="8" t="s">
        <v>13</v>
      </c>
      <c r="E26" s="8" t="s">
        <v>29</v>
      </c>
      <c r="F26" s="4" t="s">
        <v>23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8">
        <v>1723.0</v>
      </c>
      <c r="B27" s="9">
        <v>45905.0</v>
      </c>
      <c r="C27" s="4" t="s">
        <v>46</v>
      </c>
      <c r="D27" s="8" t="s">
        <v>13</v>
      </c>
      <c r="E27" s="8" t="s">
        <v>29</v>
      </c>
      <c r="F27" s="4" t="s">
        <v>23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8">
        <v>1724.0</v>
      </c>
      <c r="B28" s="9">
        <v>45905.0</v>
      </c>
      <c r="C28" s="4" t="s">
        <v>47</v>
      </c>
      <c r="D28" s="8" t="s">
        <v>13</v>
      </c>
      <c r="E28" s="8" t="s">
        <v>29</v>
      </c>
      <c r="F28" s="4" t="s">
        <v>23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8">
        <v>1725.0</v>
      </c>
      <c r="B29" s="9">
        <v>45905.0</v>
      </c>
      <c r="C29" s="4" t="s">
        <v>48</v>
      </c>
      <c r="D29" s="8" t="s">
        <v>13</v>
      </c>
      <c r="E29" s="8" t="s">
        <v>29</v>
      </c>
      <c r="F29" s="4" t="s">
        <v>23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8">
        <v>1726.0</v>
      </c>
      <c r="B30" s="9">
        <v>45905.0</v>
      </c>
      <c r="C30" s="4" t="s">
        <v>49</v>
      </c>
      <c r="D30" s="8" t="s">
        <v>13</v>
      </c>
      <c r="E30" s="8" t="s">
        <v>29</v>
      </c>
      <c r="F30" s="4" t="s">
        <v>23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8">
        <v>1727.0</v>
      </c>
      <c r="B31" s="9">
        <v>45905.0</v>
      </c>
      <c r="C31" s="4" t="s">
        <v>50</v>
      </c>
      <c r="D31" s="8" t="s">
        <v>13</v>
      </c>
      <c r="E31" s="8" t="s">
        <v>29</v>
      </c>
      <c r="F31" s="4" t="s">
        <v>23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8">
        <v>1728.0</v>
      </c>
      <c r="B32" s="9">
        <v>45905.0</v>
      </c>
      <c r="C32" s="4" t="s">
        <v>51</v>
      </c>
      <c r="D32" s="8" t="s">
        <v>25</v>
      </c>
      <c r="E32" s="8"/>
      <c r="F32" s="4" t="s">
        <v>26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8">
        <v>1729.0</v>
      </c>
      <c r="B33" s="9">
        <v>45905.0</v>
      </c>
      <c r="C33" s="4" t="s">
        <v>52</v>
      </c>
      <c r="D33" s="8" t="s">
        <v>13</v>
      </c>
      <c r="E33" s="8"/>
      <c r="F33" s="4" t="s">
        <v>14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8">
        <v>1730.0</v>
      </c>
      <c r="B34" s="9">
        <v>45905.0</v>
      </c>
      <c r="C34" s="4" t="s">
        <v>53</v>
      </c>
      <c r="D34" s="8" t="s">
        <v>13</v>
      </c>
      <c r="E34" s="8"/>
      <c r="F34" s="4" t="s">
        <v>14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8">
        <v>1731.0</v>
      </c>
      <c r="B35" s="9">
        <v>45905.0</v>
      </c>
      <c r="C35" s="4" t="s">
        <v>54</v>
      </c>
      <c r="D35" s="8" t="s">
        <v>13</v>
      </c>
      <c r="E35" s="8"/>
      <c r="F35" s="4" t="s">
        <v>14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8">
        <v>1732.0</v>
      </c>
      <c r="B36" s="9">
        <v>45905.0</v>
      </c>
      <c r="C36" s="4" t="s">
        <v>55</v>
      </c>
      <c r="D36" s="8" t="s">
        <v>13</v>
      </c>
      <c r="E36" s="8"/>
      <c r="F36" s="4" t="s">
        <v>14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8">
        <v>1733.0</v>
      </c>
      <c r="B37" s="9">
        <v>45908.0</v>
      </c>
      <c r="C37" s="4" t="s">
        <v>56</v>
      </c>
      <c r="D37" s="8" t="s">
        <v>13</v>
      </c>
      <c r="E37" s="8"/>
      <c r="F37" s="4" t="s">
        <v>14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8">
        <v>1734.0</v>
      </c>
      <c r="B38" s="9">
        <v>45909.0</v>
      </c>
      <c r="C38" s="4" t="s">
        <v>57</v>
      </c>
      <c r="D38" s="8" t="s">
        <v>13</v>
      </c>
      <c r="E38" s="8"/>
      <c r="F38" s="4" t="s">
        <v>14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8">
        <v>1735.0</v>
      </c>
      <c r="B39" s="9">
        <v>45909.0</v>
      </c>
      <c r="C39" s="4" t="s">
        <v>58</v>
      </c>
      <c r="D39" s="8" t="s">
        <v>11</v>
      </c>
      <c r="E39" s="8"/>
      <c r="F39" s="4" t="s">
        <v>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8">
        <v>1736.0</v>
      </c>
      <c r="B40" s="9">
        <v>45909.0</v>
      </c>
      <c r="C40" s="4" t="s">
        <v>59</v>
      </c>
      <c r="D40" s="8" t="s">
        <v>34</v>
      </c>
      <c r="E40" s="8"/>
      <c r="F40" s="4" t="s">
        <v>23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8">
        <v>1737.0</v>
      </c>
      <c r="B41" s="9">
        <v>45909.0</v>
      </c>
      <c r="C41" s="4" t="s">
        <v>60</v>
      </c>
      <c r="D41" s="8" t="s">
        <v>13</v>
      </c>
      <c r="E41" s="8"/>
      <c r="F41" s="4" t="s">
        <v>14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8">
        <v>1738.0</v>
      </c>
      <c r="B42" s="9">
        <v>45909.0</v>
      </c>
      <c r="C42" s="4" t="s">
        <v>61</v>
      </c>
      <c r="D42" s="8" t="s">
        <v>13</v>
      </c>
      <c r="E42" s="8"/>
      <c r="F42" s="4" t="s">
        <v>23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8">
        <v>1739.0</v>
      </c>
      <c r="B43" s="9">
        <v>45909.0</v>
      </c>
      <c r="C43" s="4" t="s">
        <v>62</v>
      </c>
      <c r="D43" s="8" t="s">
        <v>13</v>
      </c>
      <c r="E43" s="8"/>
      <c r="F43" s="4" t="s">
        <v>14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8">
        <v>1740.0</v>
      </c>
      <c r="B44" s="9">
        <v>45909.0</v>
      </c>
      <c r="C44" s="4" t="s">
        <v>63</v>
      </c>
      <c r="D44" s="8" t="s">
        <v>13</v>
      </c>
      <c r="E44" s="8"/>
      <c r="F44" s="4" t="s">
        <v>14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8">
        <v>1741.0</v>
      </c>
      <c r="B45" s="9">
        <v>45909.0</v>
      </c>
      <c r="C45" s="4" t="s">
        <v>64</v>
      </c>
      <c r="D45" s="8" t="s">
        <v>13</v>
      </c>
      <c r="E45" s="8"/>
      <c r="F45" s="4" t="s">
        <v>23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8">
        <v>1742.0</v>
      </c>
      <c r="B46" s="9">
        <v>45909.0</v>
      </c>
      <c r="C46" s="4" t="s">
        <v>65</v>
      </c>
      <c r="D46" s="8" t="s">
        <v>13</v>
      </c>
      <c r="E46" s="8"/>
      <c r="F46" s="4" t="s">
        <v>23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8">
        <v>1743.0</v>
      </c>
      <c r="B47" s="9">
        <v>45909.0</v>
      </c>
      <c r="C47" s="4" t="s">
        <v>66</v>
      </c>
      <c r="D47" s="8" t="s">
        <v>13</v>
      </c>
      <c r="E47" s="8"/>
      <c r="F47" s="4" t="s">
        <v>23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8">
        <v>1744.0</v>
      </c>
      <c r="B48" s="9">
        <v>45909.0</v>
      </c>
      <c r="C48" s="4" t="s">
        <v>67</v>
      </c>
      <c r="D48" s="8" t="s">
        <v>11</v>
      </c>
      <c r="E48" s="8"/>
      <c r="F48" s="4" t="s">
        <v>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8">
        <v>1745.0</v>
      </c>
      <c r="B49" s="9">
        <v>45909.0</v>
      </c>
      <c r="C49" s="4" t="s">
        <v>68</v>
      </c>
      <c r="D49" s="8" t="s">
        <v>69</v>
      </c>
      <c r="E49" s="8"/>
      <c r="F49" s="4" t="s">
        <v>23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8">
        <v>1746.0</v>
      </c>
      <c r="B50" s="9">
        <v>45909.0</v>
      </c>
      <c r="C50" s="4" t="s">
        <v>70</v>
      </c>
      <c r="D50" s="8" t="s">
        <v>11</v>
      </c>
      <c r="E50" s="8"/>
      <c r="F50" s="4" t="s">
        <v>9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8">
        <v>1747.0</v>
      </c>
      <c r="B51" s="9">
        <v>45909.0</v>
      </c>
      <c r="C51" s="4" t="s">
        <v>71</v>
      </c>
      <c r="D51" s="8" t="s">
        <v>25</v>
      </c>
      <c r="E51" s="8"/>
      <c r="F51" s="4" t="s">
        <v>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8">
        <v>1748.0</v>
      </c>
      <c r="B52" s="9">
        <v>45910.0</v>
      </c>
      <c r="C52" s="4" t="s">
        <v>72</v>
      </c>
      <c r="D52" s="8" t="s">
        <v>11</v>
      </c>
      <c r="E52" s="8"/>
      <c r="F52" s="4" t="s">
        <v>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8">
        <v>1749.0</v>
      </c>
      <c r="B53" s="9">
        <v>45910.0</v>
      </c>
      <c r="C53" s="4" t="s">
        <v>73</v>
      </c>
      <c r="D53" s="8" t="s">
        <v>17</v>
      </c>
      <c r="E53" s="8"/>
      <c r="F53" s="4" t="s">
        <v>74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8">
        <v>1750.0</v>
      </c>
      <c r="B54" s="9">
        <v>45910.0</v>
      </c>
      <c r="C54" s="4" t="s">
        <v>75</v>
      </c>
      <c r="D54" s="8" t="s">
        <v>69</v>
      </c>
      <c r="E54" s="8"/>
      <c r="F54" s="4" t="s">
        <v>23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8">
        <v>1751.0</v>
      </c>
      <c r="B55" s="9">
        <v>45910.0</v>
      </c>
      <c r="C55" s="4" t="s">
        <v>76</v>
      </c>
      <c r="D55" s="8" t="s">
        <v>77</v>
      </c>
      <c r="E55" s="8"/>
      <c r="F55" s="4" t="s">
        <v>23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8">
        <v>1752.0</v>
      </c>
      <c r="B56" s="9">
        <v>45910.0</v>
      </c>
      <c r="C56" s="4" t="s">
        <v>78</v>
      </c>
      <c r="D56" s="8" t="s">
        <v>25</v>
      </c>
      <c r="E56" s="8"/>
      <c r="F56" s="4" t="s">
        <v>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8">
        <v>1753.0</v>
      </c>
      <c r="B57" s="9">
        <v>45910.0</v>
      </c>
      <c r="C57" s="4" t="s">
        <v>79</v>
      </c>
      <c r="D57" s="8" t="s">
        <v>25</v>
      </c>
      <c r="E57" s="8"/>
      <c r="F57" s="4" t="s">
        <v>26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8">
        <v>1754.0</v>
      </c>
      <c r="B58" s="9">
        <v>45910.0</v>
      </c>
      <c r="C58" s="4" t="s">
        <v>80</v>
      </c>
      <c r="D58" s="8" t="s">
        <v>13</v>
      </c>
      <c r="E58" s="8"/>
      <c r="F58" s="4" t="s">
        <v>23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8">
        <v>1755.0</v>
      </c>
      <c r="B59" s="9">
        <v>45910.0</v>
      </c>
      <c r="C59" s="4" t="s">
        <v>81</v>
      </c>
      <c r="D59" s="8" t="s">
        <v>11</v>
      </c>
      <c r="E59" s="8"/>
      <c r="F59" s="4" t="s">
        <v>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8">
        <v>1756.0</v>
      </c>
      <c r="B60" s="9">
        <v>45910.0</v>
      </c>
      <c r="C60" s="4" t="s">
        <v>82</v>
      </c>
      <c r="D60" s="8" t="s">
        <v>77</v>
      </c>
      <c r="E60" s="8"/>
      <c r="F60" s="4" t="s">
        <v>23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8">
        <v>1757.0</v>
      </c>
      <c r="B61" s="9">
        <v>45910.0</v>
      </c>
      <c r="C61" s="4" t="s">
        <v>83</v>
      </c>
      <c r="D61" s="8" t="s">
        <v>22</v>
      </c>
      <c r="E61" s="8"/>
      <c r="F61" s="4" t="s">
        <v>14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8">
        <v>1758.0</v>
      </c>
      <c r="B62" s="9">
        <v>45910.0</v>
      </c>
      <c r="C62" s="10" t="s">
        <v>84</v>
      </c>
      <c r="D62" s="8" t="s">
        <v>77</v>
      </c>
      <c r="E62" s="8"/>
      <c r="F62" s="4" t="s">
        <v>23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8">
        <v>1759.0</v>
      </c>
      <c r="B63" s="9">
        <v>45910.0</v>
      </c>
      <c r="C63" s="4" t="s">
        <v>85</v>
      </c>
      <c r="D63" s="8" t="s">
        <v>22</v>
      </c>
      <c r="E63" s="8" t="s">
        <v>77</v>
      </c>
      <c r="F63" s="4" t="s">
        <v>14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8">
        <v>1760.0</v>
      </c>
      <c r="B64" s="9">
        <v>45915.0</v>
      </c>
      <c r="C64" s="4" t="s">
        <v>86</v>
      </c>
      <c r="D64" s="8" t="s">
        <v>11</v>
      </c>
      <c r="E64" s="8"/>
      <c r="F64" s="4" t="s">
        <v>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8">
        <v>1761.0</v>
      </c>
      <c r="B65" s="9">
        <v>45915.0</v>
      </c>
      <c r="C65" s="4" t="s">
        <v>87</v>
      </c>
      <c r="D65" s="8" t="s">
        <v>11</v>
      </c>
      <c r="E65" s="8"/>
      <c r="F65" s="4" t="s">
        <v>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8">
        <v>1762.0</v>
      </c>
      <c r="B66" s="9">
        <v>45915.0</v>
      </c>
      <c r="C66" s="4" t="s">
        <v>88</v>
      </c>
      <c r="D66" s="8" t="s">
        <v>11</v>
      </c>
      <c r="E66" s="8"/>
      <c r="F66" s="4" t="s">
        <v>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8">
        <v>1763.0</v>
      </c>
      <c r="B67" s="9">
        <v>45915.0</v>
      </c>
      <c r="C67" s="4" t="s">
        <v>89</v>
      </c>
      <c r="D67" s="8" t="s">
        <v>90</v>
      </c>
      <c r="E67" s="8"/>
      <c r="F67" s="4" t="s">
        <v>74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8">
        <v>1764.0</v>
      </c>
      <c r="B68" s="9">
        <v>45915.0</v>
      </c>
      <c r="C68" s="4" t="s">
        <v>91</v>
      </c>
      <c r="D68" s="8" t="s">
        <v>30</v>
      </c>
      <c r="E68" s="8" t="s">
        <v>29</v>
      </c>
      <c r="F68" s="4" t="s">
        <v>74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8">
        <v>1765.0</v>
      </c>
      <c r="B69" s="9">
        <v>45915.0</v>
      </c>
      <c r="C69" s="4" t="s">
        <v>92</v>
      </c>
      <c r="D69" s="8" t="s">
        <v>13</v>
      </c>
      <c r="E69" s="8"/>
      <c r="F69" s="4" t="s">
        <v>14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8">
        <v>1766.0</v>
      </c>
      <c r="B70" s="9">
        <v>45915.0</v>
      </c>
      <c r="C70" s="4" t="s">
        <v>93</v>
      </c>
      <c r="D70" s="8" t="s">
        <v>13</v>
      </c>
      <c r="E70" s="8"/>
      <c r="F70" s="4" t="s">
        <v>23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8">
        <v>1767.0</v>
      </c>
      <c r="B71" s="9">
        <v>45915.0</v>
      </c>
      <c r="C71" s="4" t="s">
        <v>92</v>
      </c>
      <c r="D71" s="8" t="s">
        <v>13</v>
      </c>
      <c r="E71" s="8"/>
      <c r="F71" s="4" t="s">
        <v>14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8">
        <v>1768.0</v>
      </c>
      <c r="B72" s="9">
        <v>45915.0</v>
      </c>
      <c r="C72" s="4" t="s">
        <v>94</v>
      </c>
      <c r="D72" s="8" t="s">
        <v>11</v>
      </c>
      <c r="E72" s="8"/>
      <c r="F72" s="4" t="s">
        <v>14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8">
        <v>1769.0</v>
      </c>
      <c r="B73" s="9">
        <v>45915.0</v>
      </c>
      <c r="C73" s="4" t="s">
        <v>95</v>
      </c>
      <c r="D73" s="8" t="s">
        <v>13</v>
      </c>
      <c r="E73" s="8"/>
      <c r="F73" s="4" t="s">
        <v>23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8">
        <v>1770.0</v>
      </c>
      <c r="B74" s="9">
        <v>45915.0</v>
      </c>
      <c r="C74" s="4" t="s">
        <v>96</v>
      </c>
      <c r="D74" s="8" t="s">
        <v>97</v>
      </c>
      <c r="E74" s="8"/>
      <c r="F74" s="4" t="s">
        <v>35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8">
        <v>1771.0</v>
      </c>
      <c r="B75" s="9">
        <v>45915.0</v>
      </c>
      <c r="C75" s="4" t="s">
        <v>98</v>
      </c>
      <c r="D75" s="8" t="s">
        <v>90</v>
      </c>
      <c r="E75" s="8"/>
      <c r="F75" s="4" t="s">
        <v>35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8">
        <v>1772.0</v>
      </c>
      <c r="B76" s="9">
        <v>45915.0</v>
      </c>
      <c r="C76" s="4" t="s">
        <v>99</v>
      </c>
      <c r="D76" s="8" t="s">
        <v>8</v>
      </c>
      <c r="E76" s="8"/>
      <c r="F76" s="4" t="s">
        <v>23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8">
        <v>1773.0</v>
      </c>
      <c r="B77" s="9">
        <v>45916.0</v>
      </c>
      <c r="C77" s="4" t="s">
        <v>100</v>
      </c>
      <c r="D77" s="8" t="s">
        <v>90</v>
      </c>
      <c r="E77" s="8"/>
      <c r="F77" s="4" t="s">
        <v>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8">
        <v>1774.0</v>
      </c>
      <c r="B78" s="9">
        <v>45916.0</v>
      </c>
      <c r="C78" s="4" t="s">
        <v>101</v>
      </c>
      <c r="D78" s="8" t="s">
        <v>102</v>
      </c>
      <c r="E78" s="8"/>
      <c r="F78" s="4" t="s">
        <v>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8">
        <v>1775.0</v>
      </c>
      <c r="B79" s="9">
        <v>45916.0</v>
      </c>
      <c r="C79" s="4" t="s">
        <v>103</v>
      </c>
      <c r="D79" s="8" t="s">
        <v>104</v>
      </c>
      <c r="E79" s="8"/>
      <c r="F79" s="4" t="s">
        <v>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8">
        <v>1776.0</v>
      </c>
      <c r="B80" s="9">
        <v>45916.0</v>
      </c>
      <c r="C80" s="4" t="s">
        <v>105</v>
      </c>
      <c r="D80" s="8" t="s">
        <v>30</v>
      </c>
      <c r="E80" s="8"/>
      <c r="F80" s="4" t="s">
        <v>106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8">
        <v>1777.0</v>
      </c>
      <c r="B81" s="9">
        <v>45916.0</v>
      </c>
      <c r="C81" s="4" t="s">
        <v>107</v>
      </c>
      <c r="D81" s="8" t="s">
        <v>11</v>
      </c>
      <c r="E81" s="8"/>
      <c r="F81" s="4" t="s">
        <v>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8">
        <v>1778.0</v>
      </c>
      <c r="B82" s="9">
        <v>45916.0</v>
      </c>
      <c r="C82" s="4" t="s">
        <v>108</v>
      </c>
      <c r="D82" s="8" t="s">
        <v>11</v>
      </c>
      <c r="E82" s="8"/>
      <c r="F82" s="4" t="s">
        <v>9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8">
        <v>1779.0</v>
      </c>
      <c r="B83" s="9">
        <v>45916.0</v>
      </c>
      <c r="C83" s="4" t="s">
        <v>109</v>
      </c>
      <c r="D83" s="8" t="s">
        <v>11</v>
      </c>
      <c r="E83" s="8"/>
      <c r="F83" s="4" t="s">
        <v>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8">
        <v>1780.0</v>
      </c>
      <c r="B84" s="9">
        <v>45916.0</v>
      </c>
      <c r="C84" s="4" t="s">
        <v>110</v>
      </c>
      <c r="D84" s="8" t="s">
        <v>11</v>
      </c>
      <c r="E84" s="8"/>
      <c r="F84" s="4" t="s">
        <v>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8">
        <v>1781.0</v>
      </c>
      <c r="B85" s="9">
        <v>45916.0</v>
      </c>
      <c r="C85" s="4" t="s">
        <v>111</v>
      </c>
      <c r="D85" s="8" t="s">
        <v>11</v>
      </c>
      <c r="E85" s="8"/>
      <c r="F85" s="4" t="s">
        <v>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8">
        <v>1782.0</v>
      </c>
      <c r="B86" s="9">
        <v>45916.0</v>
      </c>
      <c r="C86" s="4" t="s">
        <v>112</v>
      </c>
      <c r="D86" s="8" t="s">
        <v>34</v>
      </c>
      <c r="E86" s="8"/>
      <c r="F86" s="4" t="s">
        <v>18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8">
        <v>1783.0</v>
      </c>
      <c r="B87" s="9">
        <v>45916.0</v>
      </c>
      <c r="C87" s="4" t="s">
        <v>113</v>
      </c>
      <c r="D87" s="8" t="s">
        <v>11</v>
      </c>
      <c r="E87" s="8"/>
      <c r="F87" s="4" t="s">
        <v>9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8">
        <v>1784.0</v>
      </c>
      <c r="B88" s="9">
        <v>45917.0</v>
      </c>
      <c r="C88" s="4" t="s">
        <v>114</v>
      </c>
      <c r="D88" s="8" t="s">
        <v>13</v>
      </c>
      <c r="E88" s="8"/>
      <c r="F88" s="4" t="s">
        <v>14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8">
        <v>1785.0</v>
      </c>
      <c r="B89" s="9">
        <v>45917.0</v>
      </c>
      <c r="C89" s="4" t="s">
        <v>115</v>
      </c>
      <c r="D89" s="8" t="s">
        <v>13</v>
      </c>
      <c r="E89" s="8"/>
      <c r="F89" s="4" t="s">
        <v>14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8">
        <v>1786.0</v>
      </c>
      <c r="B90" s="9">
        <v>45917.0</v>
      </c>
      <c r="C90" s="4" t="s">
        <v>116</v>
      </c>
      <c r="D90" s="8" t="s">
        <v>13</v>
      </c>
      <c r="E90" s="8"/>
      <c r="F90" s="4" t="s">
        <v>14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8">
        <v>1787.0</v>
      </c>
      <c r="B91" s="9">
        <v>45917.0</v>
      </c>
      <c r="C91" s="4" t="s">
        <v>117</v>
      </c>
      <c r="D91" s="8" t="s">
        <v>13</v>
      </c>
      <c r="E91" s="8"/>
      <c r="F91" s="4" t="s">
        <v>14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8">
        <v>1788.0</v>
      </c>
      <c r="B92" s="9">
        <v>45917.0</v>
      </c>
      <c r="C92" s="4" t="s">
        <v>118</v>
      </c>
      <c r="D92" s="8" t="s">
        <v>25</v>
      </c>
      <c r="E92" s="8"/>
      <c r="F92" s="4" t="s">
        <v>26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8">
        <v>1789.0</v>
      </c>
      <c r="B93" s="9">
        <v>45917.0</v>
      </c>
      <c r="C93" s="4" t="s">
        <v>119</v>
      </c>
      <c r="D93" s="8" t="s">
        <v>11</v>
      </c>
      <c r="E93" s="8"/>
      <c r="F93" s="4" t="s">
        <v>9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8">
        <v>1790.0</v>
      </c>
      <c r="B94" s="9">
        <v>45917.0</v>
      </c>
      <c r="C94" s="4" t="s">
        <v>120</v>
      </c>
      <c r="D94" s="8" t="s">
        <v>13</v>
      </c>
      <c r="E94" s="8"/>
      <c r="F94" s="4" t="s">
        <v>23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8">
        <v>1791.0</v>
      </c>
      <c r="B95" s="9">
        <v>45917.0</v>
      </c>
      <c r="C95" s="4" t="s">
        <v>121</v>
      </c>
      <c r="D95" s="8" t="s">
        <v>25</v>
      </c>
      <c r="E95" s="8"/>
      <c r="F95" s="4" t="s">
        <v>26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8">
        <v>1792.0</v>
      </c>
      <c r="B96" s="9">
        <v>45917.0</v>
      </c>
      <c r="C96" s="4" t="s">
        <v>122</v>
      </c>
      <c r="D96" s="8" t="s">
        <v>11</v>
      </c>
      <c r="E96" s="8"/>
      <c r="F96" s="4" t="s">
        <v>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8">
        <v>1793.0</v>
      </c>
      <c r="B97" s="9">
        <v>45918.0</v>
      </c>
      <c r="C97" s="4" t="s">
        <v>123</v>
      </c>
      <c r="D97" s="8" t="s">
        <v>22</v>
      </c>
      <c r="E97" s="8"/>
      <c r="F97" s="4" t="s">
        <v>14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8">
        <v>1794.0</v>
      </c>
      <c r="B98" s="9">
        <v>45918.0</v>
      </c>
      <c r="C98" s="4" t="s">
        <v>124</v>
      </c>
      <c r="D98" s="8" t="s">
        <v>34</v>
      </c>
      <c r="E98" s="8"/>
      <c r="F98" s="4" t="s">
        <v>23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8">
        <v>1795.0</v>
      </c>
      <c r="B99" s="9">
        <v>45918.0</v>
      </c>
      <c r="C99" s="4" t="s">
        <v>125</v>
      </c>
      <c r="D99" s="8" t="s">
        <v>25</v>
      </c>
      <c r="E99" s="8"/>
      <c r="F99" s="4" t="s">
        <v>26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8">
        <v>1796.0</v>
      </c>
      <c r="B100" s="9">
        <v>45918.0</v>
      </c>
      <c r="C100" s="4" t="s">
        <v>126</v>
      </c>
      <c r="D100" s="8" t="s">
        <v>25</v>
      </c>
      <c r="E100" s="8"/>
      <c r="F100" s="4" t="s">
        <v>26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8">
        <v>1797.0</v>
      </c>
      <c r="B101" s="9">
        <v>45918.0</v>
      </c>
      <c r="C101" s="4" t="s">
        <v>127</v>
      </c>
      <c r="D101" s="8" t="s">
        <v>13</v>
      </c>
      <c r="E101" s="8"/>
      <c r="F101" s="4" t="s">
        <v>23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8">
        <v>1798.0</v>
      </c>
      <c r="B102" s="9">
        <v>45918.0</v>
      </c>
      <c r="C102" s="4" t="s">
        <v>128</v>
      </c>
      <c r="D102" s="8" t="s">
        <v>17</v>
      </c>
      <c r="E102" s="8"/>
      <c r="F102" s="4" t="s">
        <v>74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8">
        <v>1799.0</v>
      </c>
      <c r="B103" s="9">
        <v>45918.0</v>
      </c>
      <c r="C103" s="4" t="s">
        <v>129</v>
      </c>
      <c r="D103" s="8" t="s">
        <v>77</v>
      </c>
      <c r="E103" s="8"/>
      <c r="F103" s="4" t="s">
        <v>18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8">
        <v>1800.0</v>
      </c>
      <c r="B104" s="9">
        <v>45918.0</v>
      </c>
      <c r="C104" s="4" t="s">
        <v>130</v>
      </c>
      <c r="D104" s="8" t="s">
        <v>13</v>
      </c>
      <c r="E104" s="8"/>
      <c r="F104" s="4" t="s">
        <v>23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8">
        <v>1801.0</v>
      </c>
      <c r="B105" s="9">
        <v>45918.0</v>
      </c>
      <c r="C105" s="4" t="s">
        <v>131</v>
      </c>
      <c r="D105" s="8" t="s">
        <v>13</v>
      </c>
      <c r="E105" s="8"/>
      <c r="F105" s="4" t="s">
        <v>23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8">
        <v>1802.0</v>
      </c>
      <c r="B106" s="9">
        <v>45918.0</v>
      </c>
      <c r="C106" s="4" t="s">
        <v>132</v>
      </c>
      <c r="D106" s="8" t="s">
        <v>22</v>
      </c>
      <c r="E106" s="8"/>
      <c r="F106" s="4" t="s">
        <v>18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8">
        <v>1803.0</v>
      </c>
      <c r="B107" s="9">
        <v>45918.0</v>
      </c>
      <c r="C107" s="4" t="s">
        <v>133</v>
      </c>
      <c r="D107" s="8" t="s">
        <v>17</v>
      </c>
      <c r="E107" s="8"/>
      <c r="F107" s="4" t="s">
        <v>23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8">
        <v>1804.0</v>
      </c>
      <c r="B108" s="9">
        <v>45918.0</v>
      </c>
      <c r="C108" s="4" t="s">
        <v>134</v>
      </c>
      <c r="D108" s="8" t="s">
        <v>17</v>
      </c>
      <c r="E108" s="8"/>
      <c r="F108" s="4" t="s">
        <v>23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8">
        <v>1805.0</v>
      </c>
      <c r="B109" s="9">
        <v>45918.0</v>
      </c>
      <c r="C109" s="4" t="s">
        <v>135</v>
      </c>
      <c r="D109" s="8" t="s">
        <v>136</v>
      </c>
      <c r="E109" s="8"/>
      <c r="F109" s="4" t="s">
        <v>137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8">
        <v>1806.0</v>
      </c>
      <c r="B110" s="9">
        <v>45918.0</v>
      </c>
      <c r="C110" s="4" t="s">
        <v>138</v>
      </c>
      <c r="D110" s="8" t="s">
        <v>11</v>
      </c>
      <c r="E110" s="8"/>
      <c r="F110" s="4" t="s">
        <v>14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8">
        <v>1807.0</v>
      </c>
      <c r="B111" s="9">
        <v>45918.0</v>
      </c>
      <c r="C111" s="4" t="s">
        <v>139</v>
      </c>
      <c r="D111" s="8" t="s">
        <v>140</v>
      </c>
      <c r="E111" s="8"/>
      <c r="F111" s="4" t="s">
        <v>137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8">
        <v>1808.0</v>
      </c>
      <c r="B112" s="9">
        <v>45919.0</v>
      </c>
      <c r="C112" s="4" t="s">
        <v>141</v>
      </c>
      <c r="D112" s="8" t="s">
        <v>102</v>
      </c>
      <c r="E112" s="8"/>
      <c r="F112" s="4" t="s">
        <v>23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8">
        <v>1809.0</v>
      </c>
      <c r="B113" s="9">
        <v>45919.0</v>
      </c>
      <c r="C113" s="4" t="s">
        <v>142</v>
      </c>
      <c r="D113" s="8" t="s">
        <v>104</v>
      </c>
      <c r="E113" s="8"/>
      <c r="F113" s="4" t="s">
        <v>23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8">
        <v>1810.0</v>
      </c>
      <c r="B114" s="9">
        <v>45919.0</v>
      </c>
      <c r="C114" s="4" t="s">
        <v>143</v>
      </c>
      <c r="D114" s="8" t="s">
        <v>77</v>
      </c>
      <c r="E114" s="8"/>
      <c r="F114" s="4" t="s">
        <v>23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8">
        <v>1811.0</v>
      </c>
      <c r="B115" s="9">
        <v>45919.0</v>
      </c>
      <c r="C115" s="4" t="s">
        <v>144</v>
      </c>
      <c r="D115" s="8" t="s">
        <v>145</v>
      </c>
      <c r="E115" s="8"/>
      <c r="F115" s="4" t="s">
        <v>23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8">
        <v>1812.0</v>
      </c>
      <c r="B116" s="9">
        <v>45919.0</v>
      </c>
      <c r="C116" s="4" t="s">
        <v>146</v>
      </c>
      <c r="D116" s="8" t="s">
        <v>17</v>
      </c>
      <c r="E116" s="8"/>
      <c r="F116" s="4" t="s">
        <v>147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8">
        <v>1813.0</v>
      </c>
      <c r="B117" s="9">
        <v>45919.0</v>
      </c>
      <c r="C117" s="4" t="s">
        <v>148</v>
      </c>
      <c r="D117" s="8" t="s">
        <v>77</v>
      </c>
      <c r="E117" s="8"/>
      <c r="F117" s="4" t="s">
        <v>23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8">
        <v>1814.0</v>
      </c>
      <c r="B118" s="9">
        <v>45919.0</v>
      </c>
      <c r="C118" s="4" t="s">
        <v>149</v>
      </c>
      <c r="D118" s="8" t="s">
        <v>11</v>
      </c>
      <c r="E118" s="8"/>
      <c r="F118" s="4" t="s">
        <v>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8">
        <v>1815.0</v>
      </c>
      <c r="B119" s="9">
        <v>45919.0</v>
      </c>
      <c r="C119" s="4" t="s">
        <v>150</v>
      </c>
      <c r="D119" s="8" t="s">
        <v>13</v>
      </c>
      <c r="E119" s="8"/>
      <c r="F119" s="4" t="s">
        <v>23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8">
        <v>1816.0</v>
      </c>
      <c r="B120" s="9">
        <v>45922.0</v>
      </c>
      <c r="C120" s="4" t="s">
        <v>151</v>
      </c>
      <c r="D120" s="8" t="s">
        <v>11</v>
      </c>
      <c r="E120" s="8"/>
      <c r="F120" s="4" t="s">
        <v>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8">
        <v>1817.0</v>
      </c>
      <c r="B121" s="9">
        <v>45922.0</v>
      </c>
      <c r="C121" s="4" t="s">
        <v>152</v>
      </c>
      <c r="D121" s="8" t="s">
        <v>11</v>
      </c>
      <c r="E121" s="8"/>
      <c r="F121" s="4" t="s">
        <v>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8">
        <v>1818.0</v>
      </c>
      <c r="B122" s="9">
        <v>45922.0</v>
      </c>
      <c r="C122" s="4" t="s">
        <v>153</v>
      </c>
      <c r="D122" s="8" t="s">
        <v>11</v>
      </c>
      <c r="E122" s="8"/>
      <c r="F122" s="4" t="s">
        <v>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8">
        <v>1819.0</v>
      </c>
      <c r="B123" s="9">
        <v>45922.0</v>
      </c>
      <c r="C123" s="4" t="s">
        <v>154</v>
      </c>
      <c r="D123" s="8" t="s">
        <v>11</v>
      </c>
      <c r="E123" s="8"/>
      <c r="F123" s="4" t="s">
        <v>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8">
        <v>1820.0</v>
      </c>
      <c r="B124" s="9">
        <v>45922.0</v>
      </c>
      <c r="C124" s="4" t="s">
        <v>155</v>
      </c>
      <c r="D124" s="8" t="s">
        <v>11</v>
      </c>
      <c r="E124" s="8"/>
      <c r="F124" s="4" t="s">
        <v>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8">
        <v>1821.0</v>
      </c>
      <c r="B125" s="9">
        <v>45922.0</v>
      </c>
      <c r="C125" s="4" t="s">
        <v>156</v>
      </c>
      <c r="D125" s="8" t="s">
        <v>11</v>
      </c>
      <c r="E125" s="8"/>
      <c r="F125" s="4" t="s">
        <v>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8">
        <v>1822.0</v>
      </c>
      <c r="B126" s="9">
        <v>45922.0</v>
      </c>
      <c r="C126" s="4" t="s">
        <v>157</v>
      </c>
      <c r="D126" s="8" t="s">
        <v>25</v>
      </c>
      <c r="E126" s="8"/>
      <c r="F126" s="4" t="s">
        <v>26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8">
        <v>1823.0</v>
      </c>
      <c r="B127" s="9">
        <v>45922.0</v>
      </c>
      <c r="C127" s="4" t="s">
        <v>158</v>
      </c>
      <c r="D127" s="8" t="s">
        <v>29</v>
      </c>
      <c r="E127" s="8"/>
      <c r="F127" s="4" t="s">
        <v>14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8">
        <v>1824.0</v>
      </c>
      <c r="B128" s="9">
        <v>45922.0</v>
      </c>
      <c r="C128" s="4" t="s">
        <v>159</v>
      </c>
      <c r="D128" s="8" t="s">
        <v>29</v>
      </c>
      <c r="E128" s="8"/>
      <c r="F128" s="4" t="s">
        <v>14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8">
        <v>1825.0</v>
      </c>
      <c r="B129" s="9">
        <v>45922.0</v>
      </c>
      <c r="C129" s="4" t="s">
        <v>160</v>
      </c>
      <c r="D129" s="8" t="s">
        <v>29</v>
      </c>
      <c r="E129" s="8"/>
      <c r="F129" s="4" t="s">
        <v>14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8">
        <v>1826.0</v>
      </c>
      <c r="B130" s="9">
        <v>45922.0</v>
      </c>
      <c r="C130" s="4" t="s">
        <v>161</v>
      </c>
      <c r="D130" s="8" t="s">
        <v>162</v>
      </c>
      <c r="E130" s="8"/>
      <c r="F130" s="4" t="s">
        <v>23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8">
        <v>1827.0</v>
      </c>
      <c r="B131" s="9">
        <v>45922.0</v>
      </c>
      <c r="C131" s="4" t="s">
        <v>163</v>
      </c>
      <c r="D131" s="8" t="s">
        <v>22</v>
      </c>
      <c r="E131" s="8"/>
      <c r="F131" s="4" t="s">
        <v>26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8">
        <v>1828.0</v>
      </c>
      <c r="B132" s="9">
        <v>45922.0</v>
      </c>
      <c r="C132" s="4" t="s">
        <v>164</v>
      </c>
      <c r="D132" s="8" t="s">
        <v>162</v>
      </c>
      <c r="E132" s="8"/>
      <c r="F132" s="4" t="s">
        <v>23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8">
        <v>1829.0</v>
      </c>
      <c r="B133" s="9">
        <v>45922.0</v>
      </c>
      <c r="C133" s="4" t="s">
        <v>165</v>
      </c>
      <c r="D133" s="8" t="s">
        <v>13</v>
      </c>
      <c r="E133" s="8"/>
      <c r="F133" s="4" t="s">
        <v>14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8">
        <v>1830.0</v>
      </c>
      <c r="B134" s="9">
        <v>45922.0</v>
      </c>
      <c r="C134" s="4" t="s">
        <v>166</v>
      </c>
      <c r="D134" s="8" t="s">
        <v>13</v>
      </c>
      <c r="E134" s="8"/>
      <c r="F134" s="4" t="s">
        <v>14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8">
        <v>1831.0</v>
      </c>
      <c r="B135" s="9">
        <v>45922.0</v>
      </c>
      <c r="C135" s="4" t="s">
        <v>52</v>
      </c>
      <c r="D135" s="8" t="s">
        <v>13</v>
      </c>
      <c r="E135" s="8"/>
      <c r="F135" s="4" t="s">
        <v>14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8">
        <v>1832.0</v>
      </c>
      <c r="B136" s="9">
        <v>45922.0</v>
      </c>
      <c r="C136" s="4" t="s">
        <v>167</v>
      </c>
      <c r="D136" s="8" t="s">
        <v>168</v>
      </c>
      <c r="E136" s="8"/>
      <c r="F136" s="4" t="s">
        <v>137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8">
        <v>1833.0</v>
      </c>
      <c r="B137" s="9">
        <v>45922.0</v>
      </c>
      <c r="C137" s="4" t="s">
        <v>169</v>
      </c>
      <c r="D137" s="8" t="s">
        <v>13</v>
      </c>
      <c r="E137" s="8"/>
      <c r="F137" s="4" t="s">
        <v>14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8">
        <v>1834.0</v>
      </c>
      <c r="B138" s="9">
        <v>45922.0</v>
      </c>
      <c r="C138" s="4" t="s">
        <v>170</v>
      </c>
      <c r="D138" s="8" t="s">
        <v>77</v>
      </c>
      <c r="E138" s="8"/>
      <c r="F138" s="4" t="s">
        <v>18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8">
        <v>1835.0</v>
      </c>
      <c r="B139" s="9">
        <v>45923.0</v>
      </c>
      <c r="C139" s="4" t="s">
        <v>171</v>
      </c>
      <c r="D139" s="8" t="s">
        <v>25</v>
      </c>
      <c r="E139" s="8"/>
      <c r="F139" s="4" t="s">
        <v>26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8">
        <v>1836.0</v>
      </c>
      <c r="B140" s="9">
        <v>45923.0</v>
      </c>
      <c r="C140" s="4" t="s">
        <v>172</v>
      </c>
      <c r="D140" s="8" t="s">
        <v>25</v>
      </c>
      <c r="E140" s="8"/>
      <c r="F140" s="4" t="s">
        <v>26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8">
        <v>1837.0</v>
      </c>
      <c r="B141" s="9">
        <v>45923.0</v>
      </c>
      <c r="C141" s="4" t="s">
        <v>173</v>
      </c>
      <c r="D141" s="8" t="s">
        <v>22</v>
      </c>
      <c r="E141" s="8"/>
      <c r="F141" s="4" t="s">
        <v>26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8">
        <v>1838.0</v>
      </c>
      <c r="B142" s="9">
        <v>45923.0</v>
      </c>
      <c r="C142" s="4" t="s">
        <v>174</v>
      </c>
      <c r="D142" s="8" t="s">
        <v>30</v>
      </c>
      <c r="E142" s="8" t="s">
        <v>29</v>
      </c>
      <c r="F142" s="4" t="s">
        <v>14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8">
        <v>1839.0</v>
      </c>
      <c r="B143" s="9">
        <v>45923.0</v>
      </c>
      <c r="C143" s="4" t="s">
        <v>175</v>
      </c>
      <c r="D143" s="8" t="s">
        <v>13</v>
      </c>
      <c r="E143" s="8"/>
      <c r="F143" s="4" t="s">
        <v>23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8">
        <v>1840.0</v>
      </c>
      <c r="B144" s="9">
        <v>45923.0</v>
      </c>
      <c r="C144" s="4" t="s">
        <v>176</v>
      </c>
      <c r="D144" s="8" t="s">
        <v>11</v>
      </c>
      <c r="E144" s="8"/>
      <c r="F144" s="4" t="s">
        <v>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8">
        <v>1841.0</v>
      </c>
      <c r="B145" s="9">
        <v>45923.0</v>
      </c>
      <c r="C145" s="4" t="s">
        <v>177</v>
      </c>
      <c r="D145" s="8" t="s">
        <v>178</v>
      </c>
      <c r="E145" s="8"/>
      <c r="F145" s="4" t="s">
        <v>23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8">
        <v>1842.0</v>
      </c>
      <c r="B146" s="9">
        <v>45924.0</v>
      </c>
      <c r="C146" s="4" t="s">
        <v>179</v>
      </c>
      <c r="D146" s="8" t="s">
        <v>22</v>
      </c>
      <c r="E146" s="8"/>
      <c r="F146" s="4" t="s">
        <v>26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8">
        <v>1843.0</v>
      </c>
      <c r="B147" s="9">
        <v>45924.0</v>
      </c>
      <c r="C147" s="4" t="s">
        <v>180</v>
      </c>
      <c r="D147" s="8" t="s">
        <v>13</v>
      </c>
      <c r="E147" s="8"/>
      <c r="F147" s="4" t="s">
        <v>23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8">
        <v>1844.0</v>
      </c>
      <c r="B148" s="9">
        <v>45924.0</v>
      </c>
      <c r="C148" s="4" t="s">
        <v>181</v>
      </c>
      <c r="D148" s="8" t="s">
        <v>25</v>
      </c>
      <c r="E148" s="8"/>
      <c r="F148" s="4" t="s">
        <v>26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8">
        <v>1845.0</v>
      </c>
      <c r="B149" s="9">
        <v>45924.0</v>
      </c>
      <c r="C149" s="4" t="s">
        <v>182</v>
      </c>
      <c r="D149" s="8" t="s">
        <v>77</v>
      </c>
      <c r="E149" s="8"/>
      <c r="F149" s="4" t="s">
        <v>23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8">
        <v>1846.0</v>
      </c>
      <c r="B150" s="9">
        <v>45924.0</v>
      </c>
      <c r="C150" s="4" t="s">
        <v>183</v>
      </c>
      <c r="D150" s="8" t="s">
        <v>184</v>
      </c>
      <c r="E150" s="8" t="s">
        <v>168</v>
      </c>
      <c r="F150" s="4" t="s">
        <v>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8">
        <v>1847.0</v>
      </c>
      <c r="B151" s="9">
        <v>45924.0</v>
      </c>
      <c r="C151" s="4" t="s">
        <v>185</v>
      </c>
      <c r="D151" s="8" t="s">
        <v>11</v>
      </c>
      <c r="E151" s="8"/>
      <c r="F151" s="4" t="s">
        <v>9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8">
        <v>1848.0</v>
      </c>
      <c r="B152" s="9">
        <v>45924.0</v>
      </c>
      <c r="C152" s="4" t="s">
        <v>186</v>
      </c>
      <c r="D152" s="8" t="s">
        <v>11</v>
      </c>
      <c r="E152" s="8"/>
      <c r="F152" s="4" t="s">
        <v>9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8">
        <v>1849.0</v>
      </c>
      <c r="B153" s="9">
        <v>45924.0</v>
      </c>
      <c r="C153" s="4" t="s">
        <v>187</v>
      </c>
      <c r="D153" s="8" t="s">
        <v>11</v>
      </c>
      <c r="E153" s="8"/>
      <c r="F153" s="4" t="s">
        <v>9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11">
        <v>1850.0</v>
      </c>
      <c r="B154" s="9">
        <v>45924.0</v>
      </c>
      <c r="C154" s="4" t="s">
        <v>188</v>
      </c>
      <c r="D154" s="8" t="s">
        <v>29</v>
      </c>
      <c r="E154" s="8"/>
      <c r="F154" s="4" t="s">
        <v>14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15.75" customHeight="1">
      <c r="A155" s="8">
        <v>1851.0</v>
      </c>
      <c r="B155" s="9">
        <v>45924.0</v>
      </c>
      <c r="C155" s="4" t="s">
        <v>189</v>
      </c>
      <c r="D155" s="8" t="s">
        <v>13</v>
      </c>
      <c r="E155" s="8"/>
      <c r="F155" s="4" t="s">
        <v>23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8">
        <v>1852.0</v>
      </c>
      <c r="B156" s="9">
        <v>45924.0</v>
      </c>
      <c r="C156" s="4" t="s">
        <v>190</v>
      </c>
      <c r="D156" s="8" t="s">
        <v>13</v>
      </c>
      <c r="E156" s="8"/>
      <c r="F156" s="4" t="s">
        <v>23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8">
        <v>1853.0</v>
      </c>
      <c r="B157" s="9">
        <v>45924.0</v>
      </c>
      <c r="C157" s="4" t="s">
        <v>191</v>
      </c>
      <c r="D157" s="8" t="s">
        <v>13</v>
      </c>
      <c r="E157" s="8"/>
      <c r="F157" s="4" t="s">
        <v>23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8">
        <v>1854.0</v>
      </c>
      <c r="B158" s="9">
        <v>45924.0</v>
      </c>
      <c r="C158" s="4" t="s">
        <v>192</v>
      </c>
      <c r="D158" s="8" t="s">
        <v>13</v>
      </c>
      <c r="E158" s="8"/>
      <c r="F158" s="4" t="s">
        <v>23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8">
        <v>1855.0</v>
      </c>
      <c r="B159" s="9">
        <v>45925.0</v>
      </c>
      <c r="C159" s="4" t="s">
        <v>193</v>
      </c>
      <c r="D159" s="8" t="s">
        <v>25</v>
      </c>
      <c r="E159" s="8"/>
      <c r="F159" s="4" t="s">
        <v>9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8">
        <v>1856.0</v>
      </c>
      <c r="B160" s="9">
        <v>45925.0</v>
      </c>
      <c r="C160" s="4" t="s">
        <v>194</v>
      </c>
      <c r="D160" s="8" t="s">
        <v>25</v>
      </c>
      <c r="E160" s="8"/>
      <c r="F160" s="4" t="s">
        <v>26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8">
        <v>1857.0</v>
      </c>
      <c r="B161" s="9">
        <v>45925.0</v>
      </c>
      <c r="C161" s="4" t="s">
        <v>195</v>
      </c>
      <c r="D161" s="8" t="s">
        <v>11</v>
      </c>
      <c r="E161" s="8"/>
      <c r="F161" s="4" t="s">
        <v>9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8">
        <v>1858.0</v>
      </c>
      <c r="B162" s="9">
        <v>45925.0</v>
      </c>
      <c r="C162" s="4" t="s">
        <v>196</v>
      </c>
      <c r="D162" s="8" t="s">
        <v>11</v>
      </c>
      <c r="E162" s="8"/>
      <c r="F162" s="4" t="s">
        <v>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8">
        <v>1859.0</v>
      </c>
      <c r="B163" s="9">
        <v>45925.0</v>
      </c>
      <c r="C163" s="4" t="s">
        <v>197</v>
      </c>
      <c r="D163" s="8" t="s">
        <v>11</v>
      </c>
      <c r="E163" s="8"/>
      <c r="F163" s="4" t="s">
        <v>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8">
        <v>1860.0</v>
      </c>
      <c r="B164" s="9">
        <v>45925.0</v>
      </c>
      <c r="C164" s="4" t="s">
        <v>198</v>
      </c>
      <c r="D164" s="8" t="s">
        <v>13</v>
      </c>
      <c r="E164" s="8"/>
      <c r="F164" s="4" t="s">
        <v>23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8">
        <v>1861.0</v>
      </c>
      <c r="B165" s="9">
        <v>45925.0</v>
      </c>
      <c r="C165" s="4" t="s">
        <v>199</v>
      </c>
      <c r="D165" s="8" t="s">
        <v>25</v>
      </c>
      <c r="E165" s="8"/>
      <c r="F165" s="4" t="s">
        <v>26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8">
        <v>1862.0</v>
      </c>
      <c r="B166" s="9">
        <v>45925.0</v>
      </c>
      <c r="C166" s="4" t="s">
        <v>200</v>
      </c>
      <c r="D166" s="8" t="s">
        <v>22</v>
      </c>
      <c r="E166" s="8"/>
      <c r="F166" s="4" t="s">
        <v>26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8">
        <v>1863.0</v>
      </c>
      <c r="B167" s="9">
        <v>45925.0</v>
      </c>
      <c r="C167" s="4" t="s">
        <v>201</v>
      </c>
      <c r="D167" s="8" t="s">
        <v>11</v>
      </c>
      <c r="E167" s="8"/>
      <c r="F167" s="4" t="s">
        <v>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8">
        <v>1864.0</v>
      </c>
      <c r="B168" s="9">
        <v>45925.0</v>
      </c>
      <c r="C168" s="4" t="s">
        <v>202</v>
      </c>
      <c r="D168" s="8" t="s">
        <v>25</v>
      </c>
      <c r="E168" s="8"/>
      <c r="F168" s="4" t="s">
        <v>26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8">
        <v>1865.0</v>
      </c>
      <c r="B169" s="9">
        <v>45925.0</v>
      </c>
      <c r="C169" s="4" t="s">
        <v>203</v>
      </c>
      <c r="D169" s="8" t="s">
        <v>29</v>
      </c>
      <c r="E169" s="8"/>
      <c r="F169" s="4" t="s">
        <v>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8">
        <v>1866.0</v>
      </c>
      <c r="B170" s="9">
        <v>45925.0</v>
      </c>
      <c r="C170" s="4" t="s">
        <v>204</v>
      </c>
      <c r="D170" s="8" t="s">
        <v>11</v>
      </c>
      <c r="E170" s="8"/>
      <c r="F170" s="4" t="s">
        <v>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8">
        <v>1867.0</v>
      </c>
      <c r="B171" s="9">
        <v>45925.0</v>
      </c>
      <c r="C171" s="4" t="s">
        <v>205</v>
      </c>
      <c r="D171" s="8" t="s">
        <v>11</v>
      </c>
      <c r="E171" s="8"/>
      <c r="F171" s="4" t="s">
        <v>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8">
        <v>1868.0</v>
      </c>
      <c r="B172" s="9">
        <v>45926.0</v>
      </c>
      <c r="C172" s="4" t="s">
        <v>206</v>
      </c>
      <c r="D172" s="8" t="s">
        <v>25</v>
      </c>
      <c r="E172" s="8"/>
      <c r="F172" s="4" t="s">
        <v>26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8">
        <v>1869.0</v>
      </c>
      <c r="B173" s="9">
        <v>45926.0</v>
      </c>
      <c r="C173" s="4" t="s">
        <v>191</v>
      </c>
      <c r="D173" s="8" t="s">
        <v>13</v>
      </c>
      <c r="E173" s="8"/>
      <c r="F173" s="4" t="s">
        <v>23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8">
        <v>1870.0</v>
      </c>
      <c r="B174" s="9">
        <v>45926.0</v>
      </c>
      <c r="C174" s="4" t="s">
        <v>207</v>
      </c>
      <c r="D174" s="8" t="s">
        <v>25</v>
      </c>
      <c r="E174" s="8"/>
      <c r="F174" s="4" t="s">
        <v>26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8">
        <v>1871.0</v>
      </c>
      <c r="B175" s="9">
        <v>45926.0</v>
      </c>
      <c r="C175" s="4" t="s">
        <v>208</v>
      </c>
      <c r="D175" s="8" t="s">
        <v>22</v>
      </c>
      <c r="E175" s="8"/>
      <c r="F175" s="4" t="s">
        <v>26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8">
        <v>1872.0</v>
      </c>
      <c r="B176" s="9">
        <v>45926.0</v>
      </c>
      <c r="C176" s="4" t="s">
        <v>209</v>
      </c>
      <c r="D176" s="8" t="s">
        <v>25</v>
      </c>
      <c r="E176" s="8"/>
      <c r="F176" s="4" t="s">
        <v>26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8">
        <v>1873.0</v>
      </c>
      <c r="B177" s="9">
        <v>45926.0</v>
      </c>
      <c r="C177" s="4" t="s">
        <v>210</v>
      </c>
      <c r="D177" s="8" t="s">
        <v>11</v>
      </c>
      <c r="E177" s="8"/>
      <c r="F177" s="4" t="s">
        <v>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8">
        <v>1874.0</v>
      </c>
      <c r="B178" s="9">
        <v>45926.0</v>
      </c>
      <c r="C178" s="4" t="s">
        <v>211</v>
      </c>
      <c r="D178" s="8" t="s">
        <v>13</v>
      </c>
      <c r="E178" s="8"/>
      <c r="F178" s="4" t="s">
        <v>9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8">
        <v>1875.0</v>
      </c>
      <c r="B179" s="9">
        <v>45926.0</v>
      </c>
      <c r="C179" s="4" t="s">
        <v>212</v>
      </c>
      <c r="D179" s="8" t="s">
        <v>13</v>
      </c>
      <c r="E179" s="8"/>
      <c r="F179" s="4" t="s">
        <v>9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8">
        <v>1876.0</v>
      </c>
      <c r="B180" s="9">
        <v>45926.0</v>
      </c>
      <c r="C180" s="4" t="s">
        <v>213</v>
      </c>
      <c r="D180" s="8" t="s">
        <v>77</v>
      </c>
      <c r="E180" s="8"/>
      <c r="F180" s="4" t="s">
        <v>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8">
        <v>1877.0</v>
      </c>
      <c r="B181" s="9">
        <v>45929.0</v>
      </c>
      <c r="C181" s="4" t="s">
        <v>214</v>
      </c>
      <c r="D181" s="8" t="s">
        <v>22</v>
      </c>
      <c r="E181" s="8"/>
      <c r="F181" s="4" t="s">
        <v>14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8">
        <v>1878.0</v>
      </c>
      <c r="B182" s="9">
        <v>45929.0</v>
      </c>
      <c r="C182" s="4" t="s">
        <v>215</v>
      </c>
      <c r="D182" s="8" t="s">
        <v>22</v>
      </c>
      <c r="E182" s="8"/>
      <c r="F182" s="4" t="s">
        <v>14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8">
        <v>1879.0</v>
      </c>
      <c r="B183" s="9">
        <v>45929.0</v>
      </c>
      <c r="C183" s="4" t="s">
        <v>216</v>
      </c>
      <c r="D183" s="8" t="s">
        <v>77</v>
      </c>
      <c r="E183" s="8"/>
      <c r="F183" s="4" t="s">
        <v>14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8">
        <v>1880.0</v>
      </c>
      <c r="B184" s="9">
        <v>45929.0</v>
      </c>
      <c r="C184" s="4" t="s">
        <v>217</v>
      </c>
      <c r="D184" s="8" t="s">
        <v>102</v>
      </c>
      <c r="E184" s="8"/>
      <c r="F184" s="4" t="s">
        <v>9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8">
        <v>1881.0</v>
      </c>
      <c r="B185" s="9">
        <v>45929.0</v>
      </c>
      <c r="C185" s="4" t="s">
        <v>218</v>
      </c>
      <c r="D185" s="8" t="s">
        <v>22</v>
      </c>
      <c r="E185" s="8"/>
      <c r="F185" s="4" t="s">
        <v>74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8">
        <v>1882.0</v>
      </c>
      <c r="B186" s="9">
        <v>45929.0</v>
      </c>
      <c r="C186" s="4" t="s">
        <v>219</v>
      </c>
      <c r="D186" s="8" t="s">
        <v>13</v>
      </c>
      <c r="E186" s="8"/>
      <c r="F186" s="4" t="s">
        <v>9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8">
        <v>1883.0</v>
      </c>
      <c r="B187" s="9">
        <v>45930.0</v>
      </c>
      <c r="C187" s="4" t="s">
        <v>220</v>
      </c>
      <c r="D187" s="8" t="s">
        <v>11</v>
      </c>
      <c r="E187" s="8"/>
      <c r="F187" s="4" t="s">
        <v>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8">
        <v>1884.0</v>
      </c>
      <c r="B188" s="9">
        <v>45930.0</v>
      </c>
      <c r="C188" s="4" t="s">
        <v>221</v>
      </c>
      <c r="D188" s="8" t="s">
        <v>13</v>
      </c>
      <c r="E188" s="8"/>
      <c r="F188" s="4" t="s">
        <v>23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8">
        <v>1885.0</v>
      </c>
      <c r="B189" s="9">
        <v>45930.0</v>
      </c>
      <c r="C189" s="4" t="s">
        <v>222</v>
      </c>
      <c r="D189" s="8" t="s">
        <v>223</v>
      </c>
      <c r="E189" s="8"/>
      <c r="F189" s="4" t="s">
        <v>14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8">
        <v>1886.0</v>
      </c>
      <c r="B190" s="9">
        <v>45930.0</v>
      </c>
      <c r="C190" s="4" t="s">
        <v>224</v>
      </c>
      <c r="D190" s="8" t="s">
        <v>225</v>
      </c>
      <c r="E190" s="8"/>
      <c r="F190" s="4" t="s">
        <v>14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8">
        <v>1887.0</v>
      </c>
      <c r="B191" s="9">
        <v>45930.0</v>
      </c>
      <c r="C191" s="4" t="s">
        <v>226</v>
      </c>
      <c r="D191" s="8" t="s">
        <v>227</v>
      </c>
      <c r="E191" s="8"/>
      <c r="F191" s="4" t="s">
        <v>14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8">
        <v>1888.0</v>
      </c>
      <c r="B192" s="9">
        <v>45930.0</v>
      </c>
      <c r="C192" s="4" t="s">
        <v>228</v>
      </c>
      <c r="D192" s="8" t="s">
        <v>229</v>
      </c>
      <c r="E192" s="8"/>
      <c r="F192" s="4" t="s">
        <v>14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8">
        <v>1889.0</v>
      </c>
      <c r="B193" s="9">
        <v>45930.0</v>
      </c>
      <c r="C193" s="4" t="s">
        <v>230</v>
      </c>
      <c r="D193" s="8" t="s">
        <v>225</v>
      </c>
      <c r="E193" s="8"/>
      <c r="F193" s="4" t="s">
        <v>14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8">
        <v>1890.0</v>
      </c>
      <c r="B194" s="9">
        <v>45930.0</v>
      </c>
      <c r="C194" s="4" t="s">
        <v>231</v>
      </c>
      <c r="D194" s="8" t="s">
        <v>13</v>
      </c>
      <c r="E194" s="8"/>
      <c r="F194" s="4" t="s">
        <v>23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8">
        <v>1891.0</v>
      </c>
      <c r="B195" s="9">
        <v>45930.0</v>
      </c>
      <c r="C195" s="4" t="s">
        <v>232</v>
      </c>
      <c r="D195" s="8" t="s">
        <v>13</v>
      </c>
      <c r="E195" s="8"/>
      <c r="F195" s="4" t="s">
        <v>23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8">
        <v>1892.0</v>
      </c>
      <c r="B196" s="9">
        <v>45930.0</v>
      </c>
      <c r="C196" s="4" t="s">
        <v>233</v>
      </c>
      <c r="D196" s="8" t="s">
        <v>13</v>
      </c>
      <c r="E196" s="8"/>
      <c r="F196" s="4" t="s">
        <v>23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8">
        <v>1893.0</v>
      </c>
      <c r="B197" s="9">
        <v>45930.0</v>
      </c>
      <c r="C197" s="4" t="s">
        <v>234</v>
      </c>
      <c r="D197" s="8" t="s">
        <v>235</v>
      </c>
      <c r="E197" s="8"/>
      <c r="F197" s="4" t="s">
        <v>137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8">
        <v>1894.0</v>
      </c>
      <c r="B198" s="9">
        <v>45930.0</v>
      </c>
      <c r="C198" s="4" t="s">
        <v>236</v>
      </c>
      <c r="D198" s="8" t="s">
        <v>30</v>
      </c>
      <c r="E198" s="8" t="s">
        <v>29</v>
      </c>
      <c r="F198" s="4" t="s">
        <v>14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8">
        <v>1895.0</v>
      </c>
      <c r="B199" s="9">
        <v>45930.0</v>
      </c>
      <c r="C199" s="4" t="s">
        <v>237</v>
      </c>
      <c r="D199" s="8" t="s">
        <v>13</v>
      </c>
      <c r="E199" s="8"/>
      <c r="F199" s="4" t="s">
        <v>23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8">
        <v>1896.0</v>
      </c>
      <c r="B200" s="9">
        <v>45930.0</v>
      </c>
      <c r="C200" s="4" t="s">
        <v>238</v>
      </c>
      <c r="D200" s="8" t="s">
        <v>13</v>
      </c>
      <c r="E200" s="8"/>
      <c r="F200" s="4" t="s">
        <v>23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8">
        <v>1897.0</v>
      </c>
      <c r="B201" s="9">
        <v>45931.0</v>
      </c>
      <c r="C201" s="4" t="s">
        <v>239</v>
      </c>
      <c r="D201" s="8" t="s">
        <v>11</v>
      </c>
      <c r="E201" s="8"/>
      <c r="F201" s="4" t="s">
        <v>9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8">
        <v>1898.0</v>
      </c>
      <c r="B202" s="9">
        <v>45931.0</v>
      </c>
      <c r="C202" s="4" t="s">
        <v>240</v>
      </c>
      <c r="D202" s="8" t="s">
        <v>11</v>
      </c>
      <c r="E202" s="8"/>
      <c r="F202" s="4" t="s">
        <v>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8">
        <v>1899.0</v>
      </c>
      <c r="B203" s="9">
        <v>45931.0</v>
      </c>
      <c r="C203" s="4" t="s">
        <v>241</v>
      </c>
      <c r="D203" s="8" t="s">
        <v>11</v>
      </c>
      <c r="E203" s="8"/>
      <c r="F203" s="4" t="s">
        <v>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8">
        <v>1900.0</v>
      </c>
      <c r="B204" s="9">
        <v>45931.0</v>
      </c>
      <c r="C204" s="4" t="s">
        <v>242</v>
      </c>
      <c r="D204" s="8" t="s">
        <v>11</v>
      </c>
      <c r="E204" s="8"/>
      <c r="F204" s="4" t="s">
        <v>9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8">
        <v>1901.0</v>
      </c>
      <c r="B205" s="9">
        <v>45931.0</v>
      </c>
      <c r="C205" s="4" t="s">
        <v>243</v>
      </c>
      <c r="D205" s="8" t="s">
        <v>11</v>
      </c>
      <c r="E205" s="8"/>
      <c r="F205" s="4" t="s">
        <v>9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8">
        <v>1902.0</v>
      </c>
      <c r="B206" s="9">
        <v>45931.0</v>
      </c>
      <c r="C206" s="4" t="s">
        <v>244</v>
      </c>
      <c r="D206" s="8" t="s">
        <v>25</v>
      </c>
      <c r="E206" s="8"/>
      <c r="F206" s="4" t="s">
        <v>9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8">
        <v>1903.0</v>
      </c>
      <c r="B207" s="9">
        <v>45931.0</v>
      </c>
      <c r="C207" s="4" t="s">
        <v>245</v>
      </c>
      <c r="D207" s="8" t="s">
        <v>102</v>
      </c>
      <c r="E207" s="8"/>
      <c r="F207" s="4" t="s">
        <v>23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8">
        <v>1904.0</v>
      </c>
      <c r="B208" s="9">
        <v>45931.0</v>
      </c>
      <c r="C208" s="4" t="s">
        <v>246</v>
      </c>
      <c r="D208" s="8" t="s">
        <v>77</v>
      </c>
      <c r="E208" s="8"/>
      <c r="F208" s="4" t="s">
        <v>14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8">
        <v>1905.0</v>
      </c>
      <c r="B209" s="9">
        <v>45931.0</v>
      </c>
      <c r="C209" s="4" t="s">
        <v>247</v>
      </c>
      <c r="D209" s="8" t="s">
        <v>77</v>
      </c>
      <c r="E209" s="8"/>
      <c r="F209" s="4" t="s">
        <v>14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8">
        <v>1906.0</v>
      </c>
      <c r="B210" s="9">
        <v>45931.0</v>
      </c>
      <c r="C210" s="4" t="s">
        <v>248</v>
      </c>
      <c r="D210" s="8" t="s">
        <v>77</v>
      </c>
      <c r="E210" s="8"/>
      <c r="F210" s="4" t="s">
        <v>14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8">
        <v>1907.0</v>
      </c>
      <c r="B211" s="9">
        <v>45931.0</v>
      </c>
      <c r="C211" s="4" t="s">
        <v>249</v>
      </c>
      <c r="D211" s="8" t="s">
        <v>11</v>
      </c>
      <c r="E211" s="8"/>
      <c r="F211" s="4" t="s">
        <v>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8">
        <v>1908.0</v>
      </c>
      <c r="B212" s="9">
        <v>45931.0</v>
      </c>
      <c r="C212" s="4" t="s">
        <v>250</v>
      </c>
      <c r="D212" s="8" t="s">
        <v>34</v>
      </c>
      <c r="E212" s="8"/>
      <c r="F212" s="4" t="s">
        <v>9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8">
        <v>1909.0</v>
      </c>
      <c r="B213" s="9">
        <v>45931.0</v>
      </c>
      <c r="C213" s="4" t="s">
        <v>251</v>
      </c>
      <c r="D213" s="8" t="s">
        <v>34</v>
      </c>
      <c r="E213" s="8"/>
      <c r="F213" s="4" t="s">
        <v>9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8">
        <v>1910.0</v>
      </c>
      <c r="B214" s="9">
        <v>45932.0</v>
      </c>
      <c r="C214" s="4" t="s">
        <v>252</v>
      </c>
      <c r="D214" s="8" t="s">
        <v>13</v>
      </c>
      <c r="E214" s="8"/>
      <c r="F214" s="4" t="s">
        <v>23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8">
        <v>1911.0</v>
      </c>
      <c r="B215" s="9">
        <v>45932.0</v>
      </c>
      <c r="C215" s="4" t="s">
        <v>253</v>
      </c>
      <c r="D215" s="8" t="s">
        <v>11</v>
      </c>
      <c r="E215" s="8"/>
      <c r="F215" s="4" t="s">
        <v>9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8">
        <v>1912.0</v>
      </c>
      <c r="B216" s="9">
        <v>45932.0</v>
      </c>
      <c r="C216" s="4" t="s">
        <v>254</v>
      </c>
      <c r="D216" s="8" t="s">
        <v>168</v>
      </c>
      <c r="E216" s="8"/>
      <c r="F216" s="4" t="s">
        <v>23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8">
        <v>1913.0</v>
      </c>
      <c r="B217" s="9">
        <v>45932.0</v>
      </c>
      <c r="C217" s="4" t="s">
        <v>255</v>
      </c>
      <c r="D217" s="8" t="s">
        <v>256</v>
      </c>
      <c r="E217" s="8"/>
      <c r="F217" s="4" t="s">
        <v>23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8">
        <v>1914.0</v>
      </c>
      <c r="B218" s="9">
        <v>45932.0</v>
      </c>
      <c r="C218" s="4" t="s">
        <v>257</v>
      </c>
      <c r="D218" s="8" t="s">
        <v>13</v>
      </c>
      <c r="E218" s="8"/>
      <c r="F218" s="4" t="s">
        <v>23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8">
        <v>1915.0</v>
      </c>
      <c r="B219" s="9">
        <v>45932.0</v>
      </c>
      <c r="C219" s="4" t="s">
        <v>258</v>
      </c>
      <c r="D219" s="8" t="s">
        <v>13</v>
      </c>
      <c r="E219" s="8"/>
      <c r="F219" s="4" t="s">
        <v>23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8">
        <v>1916.0</v>
      </c>
      <c r="B220" s="9">
        <v>45932.0</v>
      </c>
      <c r="C220" s="4" t="s">
        <v>259</v>
      </c>
      <c r="D220" s="8" t="s">
        <v>13</v>
      </c>
      <c r="E220" s="8"/>
      <c r="F220" s="4" t="s">
        <v>23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8">
        <v>1917.0</v>
      </c>
      <c r="B221" s="9">
        <v>45932.0</v>
      </c>
      <c r="C221" s="4" t="s">
        <v>260</v>
      </c>
      <c r="D221" s="8" t="s">
        <v>13</v>
      </c>
      <c r="E221" s="8" t="s">
        <v>29</v>
      </c>
      <c r="F221" s="4" t="s">
        <v>23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8">
        <v>1918.0</v>
      </c>
      <c r="B222" s="9">
        <v>45932.0</v>
      </c>
      <c r="C222" s="4" t="s">
        <v>261</v>
      </c>
      <c r="D222" s="8" t="s">
        <v>13</v>
      </c>
      <c r="E222" s="8" t="s">
        <v>29</v>
      </c>
      <c r="F222" s="4" t="s">
        <v>23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8">
        <v>1919.0</v>
      </c>
      <c r="B223" s="9">
        <v>45932.0</v>
      </c>
      <c r="C223" s="4" t="s">
        <v>262</v>
      </c>
      <c r="D223" s="8" t="s">
        <v>13</v>
      </c>
      <c r="E223" s="8" t="s">
        <v>29</v>
      </c>
      <c r="F223" s="4" t="s">
        <v>23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8">
        <v>1920.0</v>
      </c>
      <c r="B224" s="9">
        <v>45932.0</v>
      </c>
      <c r="C224" s="4" t="s">
        <v>263</v>
      </c>
      <c r="D224" s="8" t="s">
        <v>13</v>
      </c>
      <c r="E224" s="8" t="s">
        <v>29</v>
      </c>
      <c r="F224" s="4" t="s">
        <v>23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8">
        <v>1921.0</v>
      </c>
      <c r="B225" s="9">
        <v>45932.0</v>
      </c>
      <c r="C225" s="4" t="s">
        <v>264</v>
      </c>
      <c r="D225" s="8" t="s">
        <v>13</v>
      </c>
      <c r="E225" s="8" t="s">
        <v>29</v>
      </c>
      <c r="F225" s="4" t="s">
        <v>23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8">
        <v>1922.0</v>
      </c>
      <c r="B226" s="9">
        <v>45932.0</v>
      </c>
      <c r="C226" s="4" t="s">
        <v>265</v>
      </c>
      <c r="D226" s="8" t="s">
        <v>13</v>
      </c>
      <c r="E226" s="8" t="s">
        <v>29</v>
      </c>
      <c r="F226" s="4" t="s">
        <v>23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8">
        <v>1923.0</v>
      </c>
      <c r="B227" s="9">
        <v>45932.0</v>
      </c>
      <c r="C227" s="4" t="s">
        <v>266</v>
      </c>
      <c r="D227" s="8" t="s">
        <v>13</v>
      </c>
      <c r="E227" s="8" t="s">
        <v>29</v>
      </c>
      <c r="F227" s="4" t="s">
        <v>23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8">
        <v>1924.0</v>
      </c>
      <c r="B228" s="9">
        <v>45932.0</v>
      </c>
      <c r="C228" s="4" t="s">
        <v>267</v>
      </c>
      <c r="D228" s="8" t="s">
        <v>13</v>
      </c>
      <c r="E228" s="8" t="s">
        <v>29</v>
      </c>
      <c r="F228" s="4" t="s">
        <v>23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8">
        <v>1925.0</v>
      </c>
      <c r="B229" s="9">
        <v>45932.0</v>
      </c>
      <c r="C229" s="4" t="s">
        <v>268</v>
      </c>
      <c r="D229" s="8" t="s">
        <v>13</v>
      </c>
      <c r="E229" s="8" t="s">
        <v>29</v>
      </c>
      <c r="F229" s="4" t="s">
        <v>23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8">
        <v>1926.0</v>
      </c>
      <c r="B230" s="9">
        <v>45932.0</v>
      </c>
      <c r="C230" s="4" t="s">
        <v>46</v>
      </c>
      <c r="D230" s="8" t="s">
        <v>13</v>
      </c>
      <c r="E230" s="8" t="s">
        <v>29</v>
      </c>
      <c r="F230" s="4" t="s">
        <v>23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8">
        <v>1927.0</v>
      </c>
      <c r="B231" s="9">
        <v>45932.0</v>
      </c>
      <c r="C231" s="4" t="s">
        <v>269</v>
      </c>
      <c r="D231" s="8" t="s">
        <v>13</v>
      </c>
      <c r="E231" s="8" t="s">
        <v>29</v>
      </c>
      <c r="F231" s="4" t="s">
        <v>23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8">
        <v>1928.0</v>
      </c>
      <c r="B232" s="9">
        <v>45932.0</v>
      </c>
      <c r="C232" s="4" t="s">
        <v>270</v>
      </c>
      <c r="D232" s="8" t="s">
        <v>13</v>
      </c>
      <c r="E232" s="8" t="s">
        <v>29</v>
      </c>
      <c r="F232" s="4" t="s">
        <v>23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8">
        <v>1929.0</v>
      </c>
      <c r="B233" s="9">
        <v>45932.0</v>
      </c>
      <c r="C233" s="4" t="s">
        <v>271</v>
      </c>
      <c r="D233" s="8" t="s">
        <v>13</v>
      </c>
      <c r="E233" s="8" t="s">
        <v>29</v>
      </c>
      <c r="F233" s="4" t="s">
        <v>23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8">
        <v>1930.0</v>
      </c>
      <c r="B234" s="9">
        <v>45932.0</v>
      </c>
      <c r="C234" s="4" t="s">
        <v>272</v>
      </c>
      <c r="D234" s="8" t="s">
        <v>13</v>
      </c>
      <c r="E234" s="8" t="s">
        <v>29</v>
      </c>
      <c r="F234" s="4" t="s">
        <v>23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8">
        <v>1931.0</v>
      </c>
      <c r="B235" s="9">
        <v>45932.0</v>
      </c>
      <c r="C235" s="4" t="s">
        <v>273</v>
      </c>
      <c r="D235" s="8" t="s">
        <v>30</v>
      </c>
      <c r="E235" s="8" t="s">
        <v>29</v>
      </c>
      <c r="F235" s="4" t="s">
        <v>14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8">
        <v>1932.0</v>
      </c>
      <c r="B236" s="9">
        <v>45932.0</v>
      </c>
      <c r="C236" s="4" t="s">
        <v>274</v>
      </c>
      <c r="D236" s="8" t="s">
        <v>275</v>
      </c>
      <c r="E236" s="8"/>
      <c r="F236" s="4" t="s">
        <v>26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8">
        <v>1933.0</v>
      </c>
      <c r="B237" s="9">
        <v>45932.0</v>
      </c>
      <c r="C237" s="4" t="s">
        <v>276</v>
      </c>
      <c r="D237" s="8" t="s">
        <v>13</v>
      </c>
      <c r="E237" s="8"/>
      <c r="F237" s="4" t="s">
        <v>14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8">
        <v>1934.0</v>
      </c>
      <c r="B238" s="9">
        <v>45932.0</v>
      </c>
      <c r="C238" s="4" t="s">
        <v>277</v>
      </c>
      <c r="D238" s="8" t="s">
        <v>13</v>
      </c>
      <c r="E238" s="8"/>
      <c r="F238" s="4" t="s">
        <v>14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8">
        <v>1935.0</v>
      </c>
      <c r="B239" s="9">
        <v>45932.0</v>
      </c>
      <c r="C239" s="4" t="s">
        <v>278</v>
      </c>
      <c r="D239" s="8" t="s">
        <v>22</v>
      </c>
      <c r="E239" s="8"/>
      <c r="F239" s="4" t="s">
        <v>74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8">
        <v>1936.0</v>
      </c>
      <c r="B240" s="9">
        <v>45933.0</v>
      </c>
      <c r="C240" s="4" t="s">
        <v>279</v>
      </c>
      <c r="D240" s="8" t="s">
        <v>13</v>
      </c>
      <c r="E240" s="8"/>
      <c r="F240" s="4" t="s">
        <v>23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8">
        <v>1937.0</v>
      </c>
      <c r="B241" s="9">
        <v>45933.0</v>
      </c>
      <c r="C241" s="4" t="s">
        <v>280</v>
      </c>
      <c r="D241" s="8" t="s">
        <v>13</v>
      </c>
      <c r="E241" s="8"/>
      <c r="F241" s="4" t="s">
        <v>14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8">
        <v>1938.0</v>
      </c>
      <c r="B242" s="9">
        <v>45933.0</v>
      </c>
      <c r="C242" s="4" t="s">
        <v>281</v>
      </c>
      <c r="D242" s="8" t="s">
        <v>22</v>
      </c>
      <c r="E242" s="8"/>
      <c r="F242" s="4" t="s">
        <v>26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8">
        <v>1939.0</v>
      </c>
      <c r="B243" s="9">
        <v>45933.0</v>
      </c>
      <c r="C243" s="4" t="s">
        <v>282</v>
      </c>
      <c r="D243" s="8" t="s">
        <v>22</v>
      </c>
      <c r="E243" s="8"/>
      <c r="F243" s="4" t="s">
        <v>26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8">
        <v>1940.0</v>
      </c>
      <c r="B244" s="9">
        <v>45933.0</v>
      </c>
      <c r="C244" s="4" t="s">
        <v>283</v>
      </c>
      <c r="D244" s="8" t="s">
        <v>11</v>
      </c>
      <c r="E244" s="8"/>
      <c r="F244" s="4" t="s">
        <v>9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8">
        <v>1941.0</v>
      </c>
      <c r="B245" s="9">
        <v>45933.0</v>
      </c>
      <c r="C245" s="4" t="s">
        <v>284</v>
      </c>
      <c r="D245" s="8" t="s">
        <v>13</v>
      </c>
      <c r="E245" s="8"/>
      <c r="F245" s="4" t="s">
        <v>23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8">
        <v>1942.0</v>
      </c>
      <c r="B246" s="9">
        <v>45933.0</v>
      </c>
      <c r="C246" s="4" t="s">
        <v>285</v>
      </c>
      <c r="D246" s="8" t="s">
        <v>13</v>
      </c>
      <c r="E246" s="8"/>
      <c r="F246" s="4" t="s">
        <v>23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8">
        <v>1943.0</v>
      </c>
      <c r="B247" s="9">
        <v>45936.0</v>
      </c>
      <c r="C247" s="4" t="s">
        <v>286</v>
      </c>
      <c r="D247" s="8" t="s">
        <v>13</v>
      </c>
      <c r="E247" s="8"/>
      <c r="F247" s="4" t="s">
        <v>23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8">
        <v>1944.0</v>
      </c>
      <c r="B248" s="9">
        <v>45936.0</v>
      </c>
      <c r="C248" s="4" t="s">
        <v>287</v>
      </c>
      <c r="D248" s="8" t="s">
        <v>11</v>
      </c>
      <c r="E248" s="8"/>
      <c r="F248" s="4" t="s">
        <v>9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8">
        <v>1945.0</v>
      </c>
      <c r="B249" s="9">
        <v>45936.0</v>
      </c>
      <c r="C249" s="4" t="s">
        <v>288</v>
      </c>
      <c r="D249" s="8" t="s">
        <v>25</v>
      </c>
      <c r="E249" s="8"/>
      <c r="F249" s="4" t="s">
        <v>26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8">
        <v>1946.0</v>
      </c>
      <c r="B250" s="9">
        <v>45936.0</v>
      </c>
      <c r="C250" s="4" t="s">
        <v>289</v>
      </c>
      <c r="D250" s="8" t="s">
        <v>11</v>
      </c>
      <c r="E250" s="8"/>
      <c r="F250" s="4" t="s">
        <v>9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8">
        <v>1947.0</v>
      </c>
      <c r="B251" s="9">
        <v>45936.0</v>
      </c>
      <c r="C251" s="4" t="s">
        <v>290</v>
      </c>
      <c r="D251" s="8" t="s">
        <v>13</v>
      </c>
      <c r="E251" s="8"/>
      <c r="F251" s="4" t="s">
        <v>23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8">
        <v>1948.0</v>
      </c>
      <c r="B252" s="9">
        <v>45936.0</v>
      </c>
      <c r="C252" s="10" t="s">
        <v>291</v>
      </c>
      <c r="D252" s="8" t="s">
        <v>25</v>
      </c>
      <c r="E252" s="8"/>
      <c r="F252" s="4" t="s">
        <v>26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8">
        <v>1949.0</v>
      </c>
      <c r="B253" s="9">
        <v>45936.0</v>
      </c>
      <c r="C253" s="4" t="s">
        <v>292</v>
      </c>
      <c r="D253" s="8" t="s">
        <v>162</v>
      </c>
      <c r="E253" s="8"/>
      <c r="F253" s="4" t="s">
        <v>74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8">
        <v>1950.0</v>
      </c>
      <c r="B254" s="9">
        <v>45936.0</v>
      </c>
      <c r="C254" s="4" t="s">
        <v>293</v>
      </c>
      <c r="D254" s="8" t="s">
        <v>294</v>
      </c>
      <c r="E254" s="8"/>
      <c r="F254" s="4" t="s">
        <v>74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8">
        <v>1951.0</v>
      </c>
      <c r="B255" s="9">
        <v>45936.0</v>
      </c>
      <c r="C255" s="4" t="s">
        <v>295</v>
      </c>
      <c r="D255" s="8" t="s">
        <v>17</v>
      </c>
      <c r="E255" s="8"/>
      <c r="F255" s="4" t="s">
        <v>74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8">
        <v>1952.0</v>
      </c>
      <c r="B256" s="9">
        <v>45936.0</v>
      </c>
      <c r="C256" s="4" t="s">
        <v>296</v>
      </c>
      <c r="D256" s="8" t="s">
        <v>13</v>
      </c>
      <c r="E256" s="8"/>
      <c r="F256" s="4" t="s">
        <v>14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8">
        <v>1953.0</v>
      </c>
      <c r="B257" s="9">
        <v>45936.0</v>
      </c>
      <c r="C257" s="4" t="s">
        <v>297</v>
      </c>
      <c r="D257" s="8"/>
      <c r="E257" s="8"/>
      <c r="F257" s="4" t="s">
        <v>106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8">
        <v>1954.0</v>
      </c>
      <c r="B258" s="9">
        <v>45936.0</v>
      </c>
      <c r="C258" s="4" t="s">
        <v>298</v>
      </c>
      <c r="D258" s="8" t="s">
        <v>299</v>
      </c>
      <c r="E258" s="8"/>
      <c r="F258" s="4" t="s">
        <v>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8">
        <v>1955.0</v>
      </c>
      <c r="B259" s="9">
        <v>45936.0</v>
      </c>
      <c r="C259" s="4" t="s">
        <v>300</v>
      </c>
      <c r="D259" s="8" t="s">
        <v>13</v>
      </c>
      <c r="E259" s="8"/>
      <c r="F259" s="4" t="s">
        <v>14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8">
        <v>1956.0</v>
      </c>
      <c r="B260" s="9">
        <v>45936.0</v>
      </c>
      <c r="C260" s="4" t="s">
        <v>301</v>
      </c>
      <c r="D260" s="8" t="s">
        <v>13</v>
      </c>
      <c r="E260" s="8"/>
      <c r="F260" s="4" t="s">
        <v>14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8">
        <v>1957.0</v>
      </c>
      <c r="B261" s="9">
        <v>45936.0</v>
      </c>
      <c r="C261" s="4" t="s">
        <v>302</v>
      </c>
      <c r="D261" s="8" t="s">
        <v>13</v>
      </c>
      <c r="E261" s="8"/>
      <c r="F261" s="4" t="s">
        <v>14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8">
        <v>1958.0</v>
      </c>
      <c r="B262" s="9">
        <v>45936.0</v>
      </c>
      <c r="C262" s="4" t="s">
        <v>303</v>
      </c>
      <c r="D262" s="8" t="s">
        <v>8</v>
      </c>
      <c r="E262" s="8"/>
      <c r="F262" s="4" t="s">
        <v>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8">
        <v>1959.0</v>
      </c>
      <c r="B263" s="9">
        <v>45936.0</v>
      </c>
      <c r="C263" s="4" t="s">
        <v>304</v>
      </c>
      <c r="D263" s="8" t="s">
        <v>13</v>
      </c>
      <c r="E263" s="8"/>
      <c r="F263" s="4" t="s">
        <v>14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8">
        <v>1960.0</v>
      </c>
      <c r="B264" s="9">
        <v>45936.0</v>
      </c>
      <c r="C264" s="4" t="s">
        <v>305</v>
      </c>
      <c r="D264" s="8" t="s">
        <v>306</v>
      </c>
      <c r="E264" s="8"/>
      <c r="F264" s="4" t="s">
        <v>9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8">
        <v>1961.0</v>
      </c>
      <c r="B265" s="9">
        <v>45936.0</v>
      </c>
      <c r="C265" s="4" t="s">
        <v>307</v>
      </c>
      <c r="D265" s="8" t="s">
        <v>11</v>
      </c>
      <c r="E265" s="8"/>
      <c r="F265" s="4" t="s">
        <v>9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8">
        <v>1962.0</v>
      </c>
      <c r="B266" s="9">
        <v>45936.0</v>
      </c>
      <c r="C266" s="4" t="s">
        <v>308</v>
      </c>
      <c r="D266" s="8" t="s">
        <v>11</v>
      </c>
      <c r="E266" s="8"/>
      <c r="F266" s="4" t="s">
        <v>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8">
        <v>1963.0</v>
      </c>
      <c r="B267" s="9">
        <v>45936.0</v>
      </c>
      <c r="C267" s="4" t="s">
        <v>309</v>
      </c>
      <c r="D267" s="8" t="s">
        <v>22</v>
      </c>
      <c r="E267" s="8"/>
      <c r="F267" s="4" t="s">
        <v>14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8">
        <v>1964.0</v>
      </c>
      <c r="B268" s="9">
        <v>45936.0</v>
      </c>
      <c r="C268" s="4" t="s">
        <v>310</v>
      </c>
      <c r="D268" s="8" t="s">
        <v>22</v>
      </c>
      <c r="E268" s="8"/>
      <c r="F268" s="4" t="s">
        <v>14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8">
        <v>1965.0</v>
      </c>
      <c r="B269" s="9">
        <v>45936.0</v>
      </c>
      <c r="C269" s="4" t="s">
        <v>311</v>
      </c>
      <c r="D269" s="8" t="s">
        <v>11</v>
      </c>
      <c r="E269" s="8"/>
      <c r="F269" s="4" t="s">
        <v>9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8">
        <v>1966.0</v>
      </c>
      <c r="B270" s="9">
        <v>45936.0</v>
      </c>
      <c r="C270" s="4" t="s">
        <v>312</v>
      </c>
      <c r="D270" s="8" t="s">
        <v>30</v>
      </c>
      <c r="E270" s="8" t="s">
        <v>29</v>
      </c>
      <c r="F270" s="4" t="s">
        <v>23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8">
        <v>1967.0</v>
      </c>
      <c r="B271" s="9">
        <v>45936.0</v>
      </c>
      <c r="C271" s="4" t="s">
        <v>313</v>
      </c>
      <c r="D271" s="8" t="s">
        <v>11</v>
      </c>
      <c r="E271" s="8"/>
      <c r="F271" s="4" t="s">
        <v>9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8">
        <v>1968.0</v>
      </c>
      <c r="B272" s="9">
        <v>45936.0</v>
      </c>
      <c r="C272" s="4" t="s">
        <v>314</v>
      </c>
      <c r="D272" s="8" t="s">
        <v>22</v>
      </c>
      <c r="E272" s="8"/>
      <c r="F272" s="4" t="s">
        <v>18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8">
        <v>1969.0</v>
      </c>
      <c r="B273" s="9">
        <v>45936.0</v>
      </c>
      <c r="C273" s="4" t="s">
        <v>315</v>
      </c>
      <c r="D273" s="8" t="s">
        <v>22</v>
      </c>
      <c r="E273" s="8"/>
      <c r="F273" s="4" t="s">
        <v>18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8">
        <v>1970.0</v>
      </c>
      <c r="B274" s="9">
        <v>45936.0</v>
      </c>
      <c r="C274" s="4" t="s">
        <v>316</v>
      </c>
      <c r="D274" s="8" t="s">
        <v>22</v>
      </c>
      <c r="E274" s="8"/>
      <c r="F274" s="4" t="s">
        <v>18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8">
        <v>1971.0</v>
      </c>
      <c r="B275" s="9">
        <v>45936.0</v>
      </c>
      <c r="C275" s="4" t="s">
        <v>317</v>
      </c>
      <c r="D275" s="8" t="s">
        <v>22</v>
      </c>
      <c r="E275" s="8"/>
      <c r="F275" s="4" t="s">
        <v>74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8">
        <v>1972.0</v>
      </c>
      <c r="B276" s="9">
        <v>45936.0</v>
      </c>
      <c r="C276" s="4" t="s">
        <v>318</v>
      </c>
      <c r="D276" s="8" t="s">
        <v>22</v>
      </c>
      <c r="E276" s="8"/>
      <c r="F276" s="4" t="s">
        <v>18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8">
        <v>1973.0</v>
      </c>
      <c r="B277" s="9">
        <v>45937.0</v>
      </c>
      <c r="C277" s="4" t="s">
        <v>319</v>
      </c>
      <c r="D277" s="8" t="s">
        <v>22</v>
      </c>
      <c r="E277" s="8"/>
      <c r="F277" s="4" t="s">
        <v>18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8">
        <v>1974.0</v>
      </c>
      <c r="B278" s="9">
        <v>45937.0</v>
      </c>
      <c r="C278" s="4" t="s">
        <v>320</v>
      </c>
      <c r="D278" s="8" t="s">
        <v>11</v>
      </c>
      <c r="E278" s="8"/>
      <c r="F278" s="4" t="s">
        <v>9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8">
        <v>1975.0</v>
      </c>
      <c r="B279" s="9">
        <v>45937.0</v>
      </c>
      <c r="C279" s="4" t="s">
        <v>321</v>
      </c>
      <c r="D279" s="8" t="s">
        <v>11</v>
      </c>
      <c r="E279" s="8"/>
      <c r="F279" s="4" t="s">
        <v>9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8">
        <v>1976.0</v>
      </c>
      <c r="B280" s="9">
        <v>45937.0</v>
      </c>
      <c r="C280" s="4" t="s">
        <v>322</v>
      </c>
      <c r="D280" s="8" t="s">
        <v>11</v>
      </c>
      <c r="E280" s="8"/>
      <c r="F280" s="4" t="s">
        <v>9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8">
        <v>1977.0</v>
      </c>
      <c r="B281" s="9">
        <v>45937.0</v>
      </c>
      <c r="C281" s="4" t="s">
        <v>323</v>
      </c>
      <c r="D281" s="8" t="s">
        <v>11</v>
      </c>
      <c r="E281" s="8"/>
      <c r="F281" s="4" t="s">
        <v>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8">
        <v>1978.0</v>
      </c>
      <c r="B282" s="9">
        <v>45937.0</v>
      </c>
      <c r="C282" s="4" t="s">
        <v>324</v>
      </c>
      <c r="D282" s="8" t="s">
        <v>11</v>
      </c>
      <c r="E282" s="8"/>
      <c r="F282" s="4" t="s">
        <v>9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8">
        <v>1979.0</v>
      </c>
      <c r="B283" s="9">
        <v>45937.0</v>
      </c>
      <c r="C283" s="4" t="s">
        <v>325</v>
      </c>
      <c r="D283" s="8" t="s">
        <v>11</v>
      </c>
      <c r="E283" s="8"/>
      <c r="F283" s="4" t="s">
        <v>9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8">
        <v>1980.0</v>
      </c>
      <c r="B284" s="9">
        <v>45937.0</v>
      </c>
      <c r="C284" s="4" t="s">
        <v>302</v>
      </c>
      <c r="D284" s="8" t="s">
        <v>13</v>
      </c>
      <c r="E284" s="8"/>
      <c r="F284" s="4" t="s">
        <v>14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8">
        <v>1981.0</v>
      </c>
      <c r="B285" s="9">
        <v>45937.0</v>
      </c>
      <c r="C285" s="4" t="s">
        <v>326</v>
      </c>
      <c r="D285" s="8" t="s">
        <v>13</v>
      </c>
      <c r="E285" s="8"/>
      <c r="F285" s="4" t="s">
        <v>14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8">
        <v>1982.0</v>
      </c>
      <c r="B286" s="9">
        <v>45937.0</v>
      </c>
      <c r="C286" s="4" t="s">
        <v>327</v>
      </c>
      <c r="D286" s="8" t="s">
        <v>77</v>
      </c>
      <c r="E286" s="8"/>
      <c r="F286" s="4" t="s">
        <v>14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8">
        <v>1983.0</v>
      </c>
      <c r="B287" s="9">
        <v>45937.0</v>
      </c>
      <c r="C287" s="4" t="s">
        <v>328</v>
      </c>
      <c r="D287" s="8" t="s">
        <v>168</v>
      </c>
      <c r="E287" s="8" t="s">
        <v>11</v>
      </c>
      <c r="F287" s="4" t="s">
        <v>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8">
        <v>1984.0</v>
      </c>
      <c r="B288" s="9">
        <v>45938.0</v>
      </c>
      <c r="C288" s="4" t="s">
        <v>329</v>
      </c>
      <c r="D288" s="8" t="s">
        <v>13</v>
      </c>
      <c r="E288" s="8"/>
      <c r="F288" s="4" t="s">
        <v>14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8">
        <v>1985.0</v>
      </c>
      <c r="B289" s="9">
        <v>45938.0</v>
      </c>
      <c r="C289" s="4" t="s">
        <v>330</v>
      </c>
      <c r="D289" s="8" t="s">
        <v>13</v>
      </c>
      <c r="E289" s="8"/>
      <c r="F289" s="4" t="s">
        <v>14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8">
        <v>1986.0</v>
      </c>
      <c r="B290" s="9">
        <v>45938.0</v>
      </c>
      <c r="C290" s="4" t="s">
        <v>331</v>
      </c>
      <c r="D290" s="8" t="s">
        <v>13</v>
      </c>
      <c r="E290" s="8"/>
      <c r="F290" s="4" t="s">
        <v>23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8">
        <v>1987.0</v>
      </c>
      <c r="B291" s="9">
        <v>45938.0</v>
      </c>
      <c r="C291" s="4" t="s">
        <v>332</v>
      </c>
      <c r="D291" s="8" t="s">
        <v>22</v>
      </c>
      <c r="E291" s="8"/>
      <c r="F291" s="4" t="s">
        <v>26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8">
        <v>1988.0</v>
      </c>
      <c r="B292" s="9">
        <v>45938.0</v>
      </c>
      <c r="C292" s="4" t="s">
        <v>333</v>
      </c>
      <c r="D292" s="8" t="s">
        <v>13</v>
      </c>
      <c r="E292" s="8"/>
      <c r="F292" s="4" t="s">
        <v>14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8">
        <v>1989.0</v>
      </c>
      <c r="B293" s="9">
        <v>45938.0</v>
      </c>
      <c r="C293" s="4" t="s">
        <v>334</v>
      </c>
      <c r="D293" s="8" t="s">
        <v>335</v>
      </c>
      <c r="E293" s="8"/>
      <c r="F293" s="4" t="s">
        <v>35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8">
        <v>1990.0</v>
      </c>
      <c r="B294" s="9">
        <v>45938.0</v>
      </c>
      <c r="C294" s="4" t="s">
        <v>336</v>
      </c>
      <c r="D294" s="8" t="s">
        <v>13</v>
      </c>
      <c r="E294" s="8"/>
      <c r="F294" s="4" t="s">
        <v>14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8">
        <v>1991.0</v>
      </c>
      <c r="B295" s="9">
        <v>45938.0</v>
      </c>
      <c r="C295" s="4" t="s">
        <v>337</v>
      </c>
      <c r="D295" s="8" t="s">
        <v>13</v>
      </c>
      <c r="E295" s="8"/>
      <c r="F295" s="4" t="s">
        <v>18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8">
        <v>1992.0</v>
      </c>
      <c r="B296" s="9">
        <v>45938.0</v>
      </c>
      <c r="C296" s="4" t="s">
        <v>338</v>
      </c>
      <c r="D296" s="8" t="s">
        <v>136</v>
      </c>
      <c r="E296" s="8"/>
      <c r="F296" s="4" t="s">
        <v>9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8">
        <v>1993.0</v>
      </c>
      <c r="B297" s="9">
        <v>45938.0</v>
      </c>
      <c r="C297" s="4" t="s">
        <v>339</v>
      </c>
      <c r="D297" s="8" t="s">
        <v>77</v>
      </c>
      <c r="E297" s="8"/>
      <c r="F297" s="4" t="s">
        <v>14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8">
        <v>1994.0</v>
      </c>
      <c r="B298" s="9">
        <v>45938.0</v>
      </c>
      <c r="C298" s="4" t="s">
        <v>340</v>
      </c>
      <c r="D298" s="8" t="s">
        <v>22</v>
      </c>
      <c r="E298" s="8"/>
      <c r="F298" s="4" t="s">
        <v>14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8">
        <v>1995.0</v>
      </c>
      <c r="B299" s="9">
        <v>45938.0</v>
      </c>
      <c r="C299" s="4" t="s">
        <v>341</v>
      </c>
      <c r="D299" s="8" t="s">
        <v>11</v>
      </c>
      <c r="E299" s="8"/>
      <c r="F299" s="4" t="s">
        <v>9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8">
        <v>1996.0</v>
      </c>
      <c r="B300" s="9">
        <v>45938.0</v>
      </c>
      <c r="C300" s="4" t="s">
        <v>342</v>
      </c>
      <c r="D300" s="8" t="s">
        <v>11</v>
      </c>
      <c r="E300" s="8"/>
      <c r="F300" s="4" t="s">
        <v>9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8">
        <v>1997.0</v>
      </c>
      <c r="B301" s="9">
        <v>45938.0</v>
      </c>
      <c r="C301" s="4" t="s">
        <v>343</v>
      </c>
      <c r="D301" s="8" t="s">
        <v>162</v>
      </c>
      <c r="E301" s="8"/>
      <c r="F301" s="4" t="s">
        <v>74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8">
        <v>1998.0</v>
      </c>
      <c r="B302" s="9">
        <v>45938.0</v>
      </c>
      <c r="C302" s="4" t="s">
        <v>344</v>
      </c>
      <c r="D302" s="8" t="s">
        <v>294</v>
      </c>
      <c r="E302" s="8"/>
      <c r="F302" s="4" t="s">
        <v>74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8">
        <v>1999.0</v>
      </c>
      <c r="B303" s="9">
        <v>45938.0</v>
      </c>
      <c r="C303" s="4" t="s">
        <v>345</v>
      </c>
      <c r="D303" s="8" t="s">
        <v>11</v>
      </c>
      <c r="E303" s="8"/>
      <c r="F303" s="4" t="s">
        <v>9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8">
        <v>2000.0</v>
      </c>
      <c r="B304" s="9">
        <v>45938.0</v>
      </c>
      <c r="C304" s="4" t="s">
        <v>346</v>
      </c>
      <c r="D304" s="8" t="s">
        <v>77</v>
      </c>
      <c r="E304" s="8"/>
      <c r="F304" s="4" t="s">
        <v>14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8">
        <v>2001.0</v>
      </c>
      <c r="B305" s="9">
        <v>45938.0</v>
      </c>
      <c r="C305" s="4" t="s">
        <v>340</v>
      </c>
      <c r="D305" s="8" t="s">
        <v>22</v>
      </c>
      <c r="E305" s="8"/>
      <c r="F305" s="4" t="s">
        <v>14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8">
        <v>2002.0</v>
      </c>
      <c r="B306" s="9">
        <v>45938.0</v>
      </c>
      <c r="C306" s="4" t="s">
        <v>347</v>
      </c>
      <c r="D306" s="8" t="s">
        <v>13</v>
      </c>
      <c r="E306" s="8"/>
      <c r="F306" s="4" t="s">
        <v>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8">
        <v>2003.0</v>
      </c>
      <c r="B307" s="9">
        <v>45938.0</v>
      </c>
      <c r="C307" s="4" t="s">
        <v>348</v>
      </c>
      <c r="D307" s="8" t="s">
        <v>13</v>
      </c>
      <c r="E307" s="8"/>
      <c r="F307" s="4" t="s">
        <v>9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8">
        <v>2004.0</v>
      </c>
      <c r="B308" s="9">
        <v>45938.0</v>
      </c>
      <c r="C308" s="4" t="s">
        <v>349</v>
      </c>
      <c r="D308" s="8" t="s">
        <v>350</v>
      </c>
      <c r="E308" s="8"/>
      <c r="F308" s="4" t="s">
        <v>9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8">
        <v>2005.0</v>
      </c>
      <c r="B309" s="9">
        <v>45939.0</v>
      </c>
      <c r="C309" s="4" t="s">
        <v>351</v>
      </c>
      <c r="D309" s="8" t="s">
        <v>77</v>
      </c>
      <c r="E309" s="8"/>
      <c r="F309" s="4" t="s">
        <v>14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8">
        <v>2006.0</v>
      </c>
      <c r="B310" s="9">
        <v>45939.0</v>
      </c>
      <c r="C310" s="4" t="s">
        <v>352</v>
      </c>
      <c r="D310" s="8" t="s">
        <v>17</v>
      </c>
      <c r="E310" s="8"/>
      <c r="F310" s="4" t="s">
        <v>14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8">
        <v>2007.0</v>
      </c>
      <c r="B311" s="9">
        <v>45939.0</v>
      </c>
      <c r="C311" s="4" t="s">
        <v>353</v>
      </c>
      <c r="D311" s="8" t="s">
        <v>77</v>
      </c>
      <c r="E311" s="8"/>
      <c r="F311" s="4" t="s">
        <v>14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8">
        <v>2008.0</v>
      </c>
      <c r="B312" s="9">
        <v>45939.0</v>
      </c>
      <c r="C312" s="4" t="s">
        <v>354</v>
      </c>
      <c r="D312" s="8" t="s">
        <v>77</v>
      </c>
      <c r="E312" s="8"/>
      <c r="F312" s="4" t="s">
        <v>14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8">
        <v>2009.0</v>
      </c>
      <c r="B313" s="9">
        <v>45939.0</v>
      </c>
      <c r="C313" s="4" t="s">
        <v>355</v>
      </c>
      <c r="D313" s="8" t="s">
        <v>11</v>
      </c>
      <c r="E313" s="8"/>
      <c r="F313" s="4" t="s">
        <v>137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8">
        <v>2010.0</v>
      </c>
      <c r="B314" s="9">
        <v>45939.0</v>
      </c>
      <c r="C314" s="4" t="s">
        <v>356</v>
      </c>
      <c r="D314" s="8" t="s">
        <v>69</v>
      </c>
      <c r="E314" s="8"/>
      <c r="F314" s="4" t="s">
        <v>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8">
        <v>2011.0</v>
      </c>
      <c r="B315" s="9">
        <v>45939.0</v>
      </c>
      <c r="C315" s="4" t="s">
        <v>357</v>
      </c>
      <c r="D315" s="8" t="s">
        <v>11</v>
      </c>
      <c r="E315" s="8"/>
      <c r="F315" s="4" t="s">
        <v>9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8">
        <v>2012.0</v>
      </c>
      <c r="B316" s="9">
        <v>45939.0</v>
      </c>
      <c r="C316" s="4" t="s">
        <v>358</v>
      </c>
      <c r="D316" s="8" t="s">
        <v>13</v>
      </c>
      <c r="E316" s="8"/>
      <c r="F316" s="4" t="s">
        <v>23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8">
        <v>2013.0</v>
      </c>
      <c r="B317" s="9">
        <v>45940.0</v>
      </c>
      <c r="C317" s="4" t="s">
        <v>359</v>
      </c>
      <c r="D317" s="8" t="s">
        <v>11</v>
      </c>
      <c r="E317" s="8"/>
      <c r="F317" s="4" t="s">
        <v>9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8">
        <v>2014.0</v>
      </c>
      <c r="B318" s="9">
        <v>45940.0</v>
      </c>
      <c r="C318" s="4" t="s">
        <v>360</v>
      </c>
      <c r="D318" s="8" t="s">
        <v>11</v>
      </c>
      <c r="E318" s="8"/>
      <c r="F318" s="4" t="s">
        <v>9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8">
        <v>2015.0</v>
      </c>
      <c r="B319" s="9">
        <v>45940.0</v>
      </c>
      <c r="C319" s="4" t="s">
        <v>361</v>
      </c>
      <c r="D319" s="8" t="s">
        <v>25</v>
      </c>
      <c r="E319" s="8"/>
      <c r="F319" s="4" t="s">
        <v>26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8">
        <v>2016.0</v>
      </c>
      <c r="B320" s="9">
        <v>45940.0</v>
      </c>
      <c r="C320" s="4" t="s">
        <v>362</v>
      </c>
      <c r="D320" s="8" t="s">
        <v>13</v>
      </c>
      <c r="E320" s="8"/>
      <c r="F320" s="4" t="s">
        <v>14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8">
        <v>2017.0</v>
      </c>
      <c r="B321" s="9">
        <v>45940.0</v>
      </c>
      <c r="C321" s="4" t="s">
        <v>363</v>
      </c>
      <c r="D321" s="8" t="s">
        <v>11</v>
      </c>
      <c r="E321" s="8"/>
      <c r="F321" s="4" t="s">
        <v>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8">
        <v>2018.0</v>
      </c>
      <c r="B322" s="9">
        <v>45940.0</v>
      </c>
      <c r="C322" s="4" t="s">
        <v>364</v>
      </c>
      <c r="D322" s="8" t="s">
        <v>11</v>
      </c>
      <c r="E322" s="8"/>
      <c r="F322" s="4" t="s">
        <v>9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8">
        <v>2019.0</v>
      </c>
      <c r="B323" s="9">
        <v>45940.0</v>
      </c>
      <c r="C323" s="4" t="s">
        <v>365</v>
      </c>
      <c r="D323" s="8" t="s">
        <v>11</v>
      </c>
      <c r="E323" s="8"/>
      <c r="F323" s="4" t="s">
        <v>9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8">
        <v>2020.0</v>
      </c>
      <c r="B324" s="9">
        <v>45940.0</v>
      </c>
      <c r="C324" s="4" t="s">
        <v>366</v>
      </c>
      <c r="D324" s="8" t="s">
        <v>11</v>
      </c>
      <c r="E324" s="8"/>
      <c r="F324" s="4" t="s">
        <v>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8">
        <v>2021.0</v>
      </c>
      <c r="B325" s="9">
        <v>45940.0</v>
      </c>
      <c r="C325" s="4" t="s">
        <v>367</v>
      </c>
      <c r="D325" s="8" t="s">
        <v>11</v>
      </c>
      <c r="E325" s="8"/>
      <c r="F325" s="4" t="s">
        <v>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8">
        <v>2022.0</v>
      </c>
      <c r="B326" s="9">
        <v>45940.0</v>
      </c>
      <c r="C326" s="4" t="s">
        <v>368</v>
      </c>
      <c r="D326" s="8" t="s">
        <v>11</v>
      </c>
      <c r="E326" s="8"/>
      <c r="F326" s="4" t="s">
        <v>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8">
        <v>2023.0</v>
      </c>
      <c r="B327" s="9">
        <v>45940.0</v>
      </c>
      <c r="C327" s="4" t="s">
        <v>369</v>
      </c>
      <c r="D327" s="8" t="s">
        <v>77</v>
      </c>
      <c r="E327" s="8"/>
      <c r="F327" s="4" t="s">
        <v>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8">
        <v>2024.0</v>
      </c>
      <c r="B328" s="9">
        <v>45940.0</v>
      </c>
      <c r="C328" s="4" t="s">
        <v>370</v>
      </c>
      <c r="D328" s="8" t="s">
        <v>29</v>
      </c>
      <c r="E328" s="8"/>
      <c r="F328" s="4" t="s">
        <v>14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8">
        <v>2025.0</v>
      </c>
      <c r="B329" s="9">
        <v>45940.0</v>
      </c>
      <c r="C329" s="4" t="s">
        <v>371</v>
      </c>
      <c r="D329" s="8" t="s">
        <v>372</v>
      </c>
      <c r="E329" s="8"/>
      <c r="F329" s="4" t="s">
        <v>9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8">
        <v>2026.0</v>
      </c>
      <c r="B330" s="9">
        <v>45940.0</v>
      </c>
      <c r="C330" s="4" t="s">
        <v>373</v>
      </c>
      <c r="D330" s="8" t="s">
        <v>374</v>
      </c>
      <c r="E330" s="8"/>
      <c r="F330" s="4" t="s">
        <v>9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8">
        <v>2027.0</v>
      </c>
      <c r="B331" s="9">
        <v>45940.0</v>
      </c>
      <c r="C331" s="4" t="s">
        <v>375</v>
      </c>
      <c r="D331" s="8" t="s">
        <v>376</v>
      </c>
      <c r="E331" s="8"/>
      <c r="F331" s="4" t="s">
        <v>9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8">
        <v>2028.0</v>
      </c>
      <c r="B332" s="9">
        <v>45940.0</v>
      </c>
      <c r="C332" s="4" t="s">
        <v>377</v>
      </c>
      <c r="D332" s="8" t="s">
        <v>378</v>
      </c>
      <c r="E332" s="8"/>
      <c r="F332" s="4" t="s">
        <v>9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8">
        <v>2029.0</v>
      </c>
      <c r="B333" s="9">
        <v>45943.0</v>
      </c>
      <c r="C333" s="4" t="s">
        <v>379</v>
      </c>
      <c r="D333" s="8" t="s">
        <v>11</v>
      </c>
      <c r="E333" s="8"/>
      <c r="F333" s="4" t="s">
        <v>9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8">
        <v>2030.0</v>
      </c>
      <c r="B334" s="9">
        <v>45943.0</v>
      </c>
      <c r="C334" s="4" t="s">
        <v>380</v>
      </c>
      <c r="D334" s="8" t="s">
        <v>13</v>
      </c>
      <c r="E334" s="8"/>
      <c r="F334" s="4" t="s">
        <v>23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8">
        <v>2031.0</v>
      </c>
      <c r="B335" s="9">
        <v>45943.0</v>
      </c>
      <c r="C335" s="4" t="s">
        <v>381</v>
      </c>
      <c r="D335" s="8" t="s">
        <v>306</v>
      </c>
      <c r="E335" s="8"/>
      <c r="F335" s="4" t="s">
        <v>9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8">
        <v>2032.0</v>
      </c>
      <c r="B336" s="9">
        <v>45943.0</v>
      </c>
      <c r="C336" s="4" t="s">
        <v>382</v>
      </c>
      <c r="D336" s="8" t="s">
        <v>13</v>
      </c>
      <c r="E336" s="8"/>
      <c r="F336" s="4" t="s">
        <v>23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8">
        <v>2033.0</v>
      </c>
      <c r="B337" s="9">
        <v>45943.0</v>
      </c>
      <c r="C337" s="4" t="s">
        <v>383</v>
      </c>
      <c r="D337" s="8" t="s">
        <v>77</v>
      </c>
      <c r="E337" s="8"/>
      <c r="F337" s="4" t="s">
        <v>23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8">
        <v>2034.0</v>
      </c>
      <c r="B338" s="9">
        <v>45943.0</v>
      </c>
      <c r="C338" s="4" t="s">
        <v>384</v>
      </c>
      <c r="D338" s="8" t="s">
        <v>13</v>
      </c>
      <c r="E338" s="8"/>
      <c r="F338" s="4" t="s">
        <v>23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8">
        <v>2035.0</v>
      </c>
      <c r="B339" s="9">
        <v>45943.0</v>
      </c>
      <c r="C339" s="4" t="s">
        <v>385</v>
      </c>
      <c r="D339" s="8" t="s">
        <v>13</v>
      </c>
      <c r="E339" s="8"/>
      <c r="F339" s="4" t="s">
        <v>14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8">
        <v>2036.0</v>
      </c>
      <c r="B340" s="9">
        <v>45943.0</v>
      </c>
      <c r="C340" s="4" t="s">
        <v>386</v>
      </c>
      <c r="D340" s="8" t="s">
        <v>13</v>
      </c>
      <c r="E340" s="8"/>
      <c r="F340" s="4" t="s">
        <v>23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8">
        <v>2037.0</v>
      </c>
      <c r="B341" s="13">
        <v>45943.0</v>
      </c>
      <c r="C341" s="4" t="s">
        <v>387</v>
      </c>
      <c r="D341" s="8" t="s">
        <v>13</v>
      </c>
      <c r="E341" s="8"/>
      <c r="F341" s="4" t="s">
        <v>14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8">
        <v>2038.0</v>
      </c>
      <c r="B342" s="9">
        <v>45943.0</v>
      </c>
      <c r="C342" s="4" t="s">
        <v>388</v>
      </c>
      <c r="D342" s="8" t="s">
        <v>13</v>
      </c>
      <c r="E342" s="8"/>
      <c r="F342" s="4" t="s">
        <v>14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8">
        <v>2039.0</v>
      </c>
      <c r="B343" s="9">
        <v>45943.0</v>
      </c>
      <c r="C343" s="4" t="s">
        <v>389</v>
      </c>
      <c r="D343" s="8" t="s">
        <v>13</v>
      </c>
      <c r="E343" s="8"/>
      <c r="F343" s="4" t="s">
        <v>14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8">
        <v>2040.0</v>
      </c>
      <c r="B344" s="9">
        <v>45943.0</v>
      </c>
      <c r="C344" s="4" t="s">
        <v>390</v>
      </c>
      <c r="D344" s="8" t="s">
        <v>162</v>
      </c>
      <c r="E344" s="8"/>
      <c r="F344" s="4" t="s">
        <v>74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8">
        <v>2041.0</v>
      </c>
      <c r="B345" s="9">
        <v>45943.0</v>
      </c>
      <c r="C345" s="4" t="s">
        <v>391</v>
      </c>
      <c r="D345" s="8" t="s">
        <v>294</v>
      </c>
      <c r="E345" s="8"/>
      <c r="F345" s="4" t="s">
        <v>74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8">
        <v>2042.0</v>
      </c>
      <c r="B346" s="9">
        <v>45943.0</v>
      </c>
      <c r="C346" s="4" t="s">
        <v>392</v>
      </c>
      <c r="D346" s="8" t="s">
        <v>13</v>
      </c>
      <c r="E346" s="8"/>
      <c r="F346" s="4" t="s">
        <v>74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8">
        <v>2043.0</v>
      </c>
      <c r="B347" s="9">
        <v>45943.0</v>
      </c>
      <c r="C347" s="4" t="s">
        <v>393</v>
      </c>
      <c r="D347" s="8" t="s">
        <v>13</v>
      </c>
      <c r="E347" s="8"/>
      <c r="F347" s="4" t="s">
        <v>14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8">
        <v>2044.0</v>
      </c>
      <c r="B348" s="9">
        <v>45943.0</v>
      </c>
      <c r="C348" s="4" t="s">
        <v>394</v>
      </c>
      <c r="D348" s="8" t="s">
        <v>25</v>
      </c>
      <c r="E348" s="8"/>
      <c r="F348" s="4" t="s">
        <v>26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8">
        <v>2045.0</v>
      </c>
      <c r="B349" s="9">
        <v>45943.0</v>
      </c>
      <c r="C349" s="4" t="s">
        <v>395</v>
      </c>
      <c r="D349" s="8" t="s">
        <v>13</v>
      </c>
      <c r="E349" s="8"/>
      <c r="F349" s="4" t="s">
        <v>14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8">
        <v>2046.0</v>
      </c>
      <c r="B350" s="9">
        <v>45943.0</v>
      </c>
      <c r="C350" s="4" t="s">
        <v>396</v>
      </c>
      <c r="D350" s="8" t="s">
        <v>13</v>
      </c>
      <c r="E350" s="8"/>
      <c r="F350" s="4" t="s">
        <v>14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8">
        <v>2047.0</v>
      </c>
      <c r="B351" s="9">
        <v>45943.0</v>
      </c>
      <c r="C351" s="4" t="s">
        <v>397</v>
      </c>
      <c r="D351" s="8" t="s">
        <v>11</v>
      </c>
      <c r="E351" s="8"/>
      <c r="F351" s="4" t="s">
        <v>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8">
        <v>2048.0</v>
      </c>
      <c r="B352" s="9">
        <v>45943.0</v>
      </c>
      <c r="C352" s="4" t="s">
        <v>398</v>
      </c>
      <c r="D352" s="8" t="s">
        <v>13</v>
      </c>
      <c r="E352" s="8" t="s">
        <v>17</v>
      </c>
      <c r="F352" s="4" t="s">
        <v>9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8">
        <v>2049.0</v>
      </c>
      <c r="B353" s="9">
        <v>45943.0</v>
      </c>
      <c r="C353" s="4" t="s">
        <v>399</v>
      </c>
      <c r="D353" s="8" t="s">
        <v>13</v>
      </c>
      <c r="E353" s="8"/>
      <c r="F353" s="4" t="s">
        <v>14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8">
        <v>2050.0</v>
      </c>
      <c r="B354" s="9">
        <v>45943.0</v>
      </c>
      <c r="C354" s="4" t="s">
        <v>400</v>
      </c>
      <c r="D354" s="8" t="s">
        <v>11</v>
      </c>
      <c r="E354" s="8"/>
      <c r="F354" s="4" t="s">
        <v>9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8">
        <v>2051.0</v>
      </c>
      <c r="B355" s="9">
        <v>45944.0</v>
      </c>
      <c r="C355" s="4" t="s">
        <v>401</v>
      </c>
      <c r="D355" s="8" t="s">
        <v>11</v>
      </c>
      <c r="E355" s="8"/>
      <c r="F355" s="4" t="s">
        <v>9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8">
        <v>2052.0</v>
      </c>
      <c r="B356" s="9">
        <v>45944.0</v>
      </c>
      <c r="C356" s="4" t="s">
        <v>402</v>
      </c>
      <c r="D356" s="8" t="s">
        <v>11</v>
      </c>
      <c r="E356" s="8"/>
      <c r="F356" s="4" t="s">
        <v>9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8">
        <v>2053.0</v>
      </c>
      <c r="B357" s="9">
        <v>45944.0</v>
      </c>
      <c r="C357" s="4" t="s">
        <v>403</v>
      </c>
      <c r="D357" s="8" t="s">
        <v>22</v>
      </c>
      <c r="E357" s="8"/>
      <c r="F357" s="4" t="s">
        <v>14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8">
        <v>2054.0</v>
      </c>
      <c r="B358" s="9">
        <v>45944.0</v>
      </c>
      <c r="C358" s="4" t="s">
        <v>404</v>
      </c>
      <c r="D358" s="8" t="s">
        <v>22</v>
      </c>
      <c r="E358" s="8"/>
      <c r="F358" s="4" t="s">
        <v>14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8">
        <v>2055.0</v>
      </c>
      <c r="B359" s="9">
        <v>45944.0</v>
      </c>
      <c r="C359" s="4" t="s">
        <v>405</v>
      </c>
      <c r="D359" s="8" t="s">
        <v>11</v>
      </c>
      <c r="E359" s="8"/>
      <c r="F359" s="4" t="s">
        <v>9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8">
        <v>2056.0</v>
      </c>
      <c r="B360" s="9">
        <v>45945.0</v>
      </c>
      <c r="C360" s="4" t="s">
        <v>406</v>
      </c>
      <c r="D360" s="8" t="s">
        <v>25</v>
      </c>
      <c r="E360" s="8"/>
      <c r="F360" s="4" t="s">
        <v>26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8">
        <v>2057.0</v>
      </c>
      <c r="B361" s="9">
        <v>45945.0</v>
      </c>
      <c r="C361" s="4" t="s">
        <v>407</v>
      </c>
      <c r="D361" s="8" t="s">
        <v>11</v>
      </c>
      <c r="E361" s="8"/>
      <c r="F361" s="4" t="s">
        <v>9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8">
        <v>2058.0</v>
      </c>
      <c r="B362" s="9">
        <v>45945.0</v>
      </c>
      <c r="C362" s="4" t="s">
        <v>408</v>
      </c>
      <c r="D362" s="8" t="s">
        <v>11</v>
      </c>
      <c r="E362" s="8"/>
      <c r="F362" s="4" t="s">
        <v>9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8">
        <v>2059.0</v>
      </c>
      <c r="B363" s="9">
        <v>45945.0</v>
      </c>
      <c r="C363" s="4" t="s">
        <v>409</v>
      </c>
      <c r="D363" s="8" t="s">
        <v>162</v>
      </c>
      <c r="E363" s="8"/>
      <c r="F363" s="4" t="s">
        <v>26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8">
        <v>2060.0</v>
      </c>
      <c r="B364" s="9">
        <v>45945.0</v>
      </c>
      <c r="C364" s="4" t="s">
        <v>393</v>
      </c>
      <c r="D364" s="8" t="s">
        <v>13</v>
      </c>
      <c r="E364" s="8"/>
      <c r="F364" s="4" t="s">
        <v>23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8">
        <v>2061.0</v>
      </c>
      <c r="B365" s="9">
        <v>45945.0</v>
      </c>
      <c r="C365" s="4" t="s">
        <v>410</v>
      </c>
      <c r="D365" s="8" t="s">
        <v>13</v>
      </c>
      <c r="E365" s="8"/>
      <c r="F365" s="4" t="s">
        <v>23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8">
        <v>2062.0</v>
      </c>
      <c r="B366" s="9">
        <v>45945.0</v>
      </c>
      <c r="C366" s="4" t="s">
        <v>388</v>
      </c>
      <c r="D366" s="8" t="s">
        <v>13</v>
      </c>
      <c r="E366" s="8"/>
      <c r="F366" s="4" t="s">
        <v>23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8">
        <v>2063.0</v>
      </c>
      <c r="B367" s="9">
        <v>45945.0</v>
      </c>
      <c r="C367" s="4" t="s">
        <v>411</v>
      </c>
      <c r="D367" s="8" t="s">
        <v>13</v>
      </c>
      <c r="E367" s="8"/>
      <c r="F367" s="4" t="s">
        <v>23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8">
        <v>2064.0</v>
      </c>
      <c r="B368" s="9">
        <v>45945.0</v>
      </c>
      <c r="C368" s="4" t="s">
        <v>412</v>
      </c>
      <c r="D368" s="8" t="s">
        <v>30</v>
      </c>
      <c r="E368" s="8"/>
      <c r="F368" s="4" t="s">
        <v>14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8">
        <v>2065.0</v>
      </c>
      <c r="B369" s="9">
        <v>45945.0</v>
      </c>
      <c r="C369" s="4" t="s">
        <v>413</v>
      </c>
      <c r="D369" s="8" t="s">
        <v>30</v>
      </c>
      <c r="E369" s="8"/>
      <c r="F369" s="4" t="s">
        <v>14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8">
        <v>2066.0</v>
      </c>
      <c r="B370" s="9">
        <v>45946.0</v>
      </c>
      <c r="C370" s="4" t="s">
        <v>414</v>
      </c>
      <c r="D370" s="8" t="s">
        <v>11</v>
      </c>
      <c r="E370" s="8"/>
      <c r="F370" s="4" t="s">
        <v>9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8">
        <v>2067.0</v>
      </c>
      <c r="B371" s="9">
        <v>45946.0</v>
      </c>
      <c r="C371" s="4" t="s">
        <v>415</v>
      </c>
      <c r="D371" s="8" t="s">
        <v>77</v>
      </c>
      <c r="E371" s="8"/>
      <c r="F371" s="4" t="s">
        <v>23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8">
        <v>2068.0</v>
      </c>
      <c r="B372" s="9">
        <v>45946.0</v>
      </c>
      <c r="C372" s="4" t="s">
        <v>416</v>
      </c>
      <c r="D372" s="8" t="s">
        <v>11</v>
      </c>
      <c r="E372" s="8"/>
      <c r="F372" s="4" t="s">
        <v>9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8">
        <v>2069.0</v>
      </c>
      <c r="B373" s="14">
        <v>45946.0</v>
      </c>
      <c r="C373" s="10" t="s">
        <v>417</v>
      </c>
      <c r="D373" s="8" t="s">
        <v>25</v>
      </c>
      <c r="E373" s="8"/>
      <c r="F373" s="4" t="s">
        <v>26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8">
        <v>2070.0</v>
      </c>
      <c r="B374" s="9">
        <v>45946.0</v>
      </c>
      <c r="C374" s="4" t="s">
        <v>418</v>
      </c>
      <c r="D374" s="8" t="s">
        <v>11</v>
      </c>
      <c r="E374" s="8"/>
      <c r="F374" s="4" t="s">
        <v>9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8">
        <v>2071.0</v>
      </c>
      <c r="B375" s="9">
        <v>45946.0</v>
      </c>
      <c r="C375" s="4" t="s">
        <v>419</v>
      </c>
      <c r="D375" s="8" t="s">
        <v>11</v>
      </c>
      <c r="E375" s="8"/>
      <c r="F375" s="4" t="s">
        <v>9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8">
        <v>2072.0</v>
      </c>
      <c r="B376" s="9">
        <v>45946.0</v>
      </c>
      <c r="C376" s="4" t="s">
        <v>420</v>
      </c>
      <c r="D376" s="8" t="s">
        <v>168</v>
      </c>
      <c r="E376" s="8"/>
      <c r="F376" s="4" t="s">
        <v>26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8">
        <v>2073.0</v>
      </c>
      <c r="B377" s="9">
        <v>45946.0</v>
      </c>
      <c r="C377" s="4" t="s">
        <v>421</v>
      </c>
      <c r="D377" s="8" t="s">
        <v>168</v>
      </c>
      <c r="E377" s="8"/>
      <c r="F377" s="4" t="s">
        <v>26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8">
        <v>2074.0</v>
      </c>
      <c r="B378" s="9">
        <v>45946.0</v>
      </c>
      <c r="C378" s="4" t="s">
        <v>422</v>
      </c>
      <c r="D378" s="8" t="s">
        <v>34</v>
      </c>
      <c r="E378" s="8"/>
      <c r="F378" s="4" t="s">
        <v>23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8">
        <v>2075.0</v>
      </c>
      <c r="B379" s="9">
        <v>45946.0</v>
      </c>
      <c r="C379" s="4" t="s">
        <v>423</v>
      </c>
      <c r="D379" s="8" t="s">
        <v>372</v>
      </c>
      <c r="E379" s="8"/>
      <c r="F379" s="4" t="s">
        <v>9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8">
        <v>2076.0</v>
      </c>
      <c r="B380" s="9">
        <v>45946.0</v>
      </c>
      <c r="C380" s="4" t="s">
        <v>424</v>
      </c>
      <c r="D380" s="8" t="s">
        <v>372</v>
      </c>
      <c r="E380" s="8"/>
      <c r="F380" s="4" t="s">
        <v>9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8">
        <v>2077.0</v>
      </c>
      <c r="B381" s="9">
        <v>45946.0</v>
      </c>
      <c r="C381" s="4" t="s">
        <v>425</v>
      </c>
      <c r="D381" s="8" t="s">
        <v>372</v>
      </c>
      <c r="E381" s="8"/>
      <c r="F381" s="4" t="s">
        <v>9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8">
        <v>2078.0</v>
      </c>
      <c r="B382" s="9">
        <v>45946.0</v>
      </c>
      <c r="C382" s="4" t="s">
        <v>426</v>
      </c>
      <c r="D382" s="8" t="s">
        <v>11</v>
      </c>
      <c r="E382" s="8"/>
      <c r="F382" s="4" t="s">
        <v>9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8">
        <v>2079.0</v>
      </c>
      <c r="B383" s="9">
        <v>45946.0</v>
      </c>
      <c r="C383" s="4" t="s">
        <v>427</v>
      </c>
      <c r="D383" s="8" t="s">
        <v>11</v>
      </c>
      <c r="E383" s="8"/>
      <c r="F383" s="4" t="s">
        <v>9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8">
        <v>2080.0</v>
      </c>
      <c r="B384" s="9">
        <v>45946.0</v>
      </c>
      <c r="C384" s="4" t="s">
        <v>428</v>
      </c>
      <c r="D384" s="8" t="s">
        <v>11</v>
      </c>
      <c r="E384" s="8"/>
      <c r="F384" s="4" t="s">
        <v>9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8">
        <v>2081.0</v>
      </c>
      <c r="B385" s="9">
        <v>45946.0</v>
      </c>
      <c r="C385" s="4" t="s">
        <v>429</v>
      </c>
      <c r="D385" s="8" t="s">
        <v>11</v>
      </c>
      <c r="E385" s="8" t="s">
        <v>25</v>
      </c>
      <c r="F385" s="4" t="s">
        <v>9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8">
        <v>2082.0</v>
      </c>
      <c r="B386" s="9">
        <v>45946.0</v>
      </c>
      <c r="C386" s="4" t="s">
        <v>430</v>
      </c>
      <c r="D386" s="8" t="s">
        <v>168</v>
      </c>
      <c r="E386" s="8"/>
      <c r="F386" s="4" t="s">
        <v>23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8">
        <v>2083.0</v>
      </c>
      <c r="B387" s="9">
        <v>45946.0</v>
      </c>
      <c r="C387" s="4" t="s">
        <v>431</v>
      </c>
      <c r="D387" s="8" t="s">
        <v>11</v>
      </c>
      <c r="E387" s="8"/>
      <c r="F387" s="4" t="s">
        <v>9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8">
        <v>2084.0</v>
      </c>
      <c r="B388" s="9">
        <v>45946.0</v>
      </c>
      <c r="C388" s="4" t="s">
        <v>432</v>
      </c>
      <c r="D388" s="8" t="s">
        <v>178</v>
      </c>
      <c r="E388" s="8"/>
      <c r="F388" s="4" t="s">
        <v>23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8">
        <v>2085.0</v>
      </c>
      <c r="B389" s="9">
        <v>45950.0</v>
      </c>
      <c r="C389" s="4" t="s">
        <v>433</v>
      </c>
      <c r="D389" s="8" t="s">
        <v>136</v>
      </c>
      <c r="E389" s="8"/>
      <c r="F389" s="4" t="s">
        <v>106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8">
        <v>2086.0</v>
      </c>
      <c r="B390" s="9">
        <v>45950.0</v>
      </c>
      <c r="C390" s="4" t="s">
        <v>434</v>
      </c>
      <c r="D390" s="8" t="s">
        <v>168</v>
      </c>
      <c r="E390" s="8"/>
      <c r="F390" s="4" t="s">
        <v>137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8">
        <v>2087.0</v>
      </c>
      <c r="B391" s="9">
        <v>45950.0</v>
      </c>
      <c r="C391" s="4" t="s">
        <v>435</v>
      </c>
      <c r="D391" s="8" t="s">
        <v>436</v>
      </c>
      <c r="E391" s="8"/>
      <c r="F391" s="4" t="s">
        <v>14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8">
        <v>2088.0</v>
      </c>
      <c r="B392" s="9">
        <v>45950.0</v>
      </c>
      <c r="C392" s="4" t="s">
        <v>437</v>
      </c>
      <c r="D392" s="8" t="s">
        <v>29</v>
      </c>
      <c r="E392" s="8"/>
      <c r="F392" s="4" t="s">
        <v>14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8">
        <v>2089.0</v>
      </c>
      <c r="B393" s="9">
        <v>45951.0</v>
      </c>
      <c r="C393" s="4" t="s">
        <v>438</v>
      </c>
      <c r="D393" s="8" t="s">
        <v>11</v>
      </c>
      <c r="E393" s="8"/>
      <c r="F393" s="4" t="s">
        <v>9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8">
        <v>2090.0</v>
      </c>
      <c r="B394" s="9">
        <v>45951.0</v>
      </c>
      <c r="C394" s="4" t="s">
        <v>439</v>
      </c>
      <c r="D394" s="8" t="s">
        <v>11</v>
      </c>
      <c r="E394" s="8"/>
      <c r="F394" s="4" t="s">
        <v>9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8">
        <v>2091.0</v>
      </c>
      <c r="B395" s="9">
        <v>45951.0</v>
      </c>
      <c r="C395" s="4" t="s">
        <v>440</v>
      </c>
      <c r="D395" s="8" t="s">
        <v>17</v>
      </c>
      <c r="E395" s="8"/>
      <c r="F395" s="4" t="s">
        <v>9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8">
        <v>2092.0</v>
      </c>
      <c r="B396" s="9">
        <v>45952.0</v>
      </c>
      <c r="C396" s="15"/>
      <c r="D396" s="8"/>
      <c r="E396" s="8"/>
      <c r="F396" s="4" t="s">
        <v>106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8">
        <v>2093.0</v>
      </c>
      <c r="B397" s="9">
        <v>45951.0</v>
      </c>
      <c r="C397" s="4" t="s">
        <v>441</v>
      </c>
      <c r="D397" s="8" t="s">
        <v>350</v>
      </c>
      <c r="E397" s="8"/>
      <c r="F397" s="4" t="s">
        <v>18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8">
        <v>2094.0</v>
      </c>
      <c r="B398" s="9">
        <v>45951.0</v>
      </c>
      <c r="C398" s="4" t="s">
        <v>442</v>
      </c>
      <c r="D398" s="8" t="s">
        <v>25</v>
      </c>
      <c r="E398" s="8"/>
      <c r="F398" s="4" t="s">
        <v>9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11">
        <v>2095.0</v>
      </c>
      <c r="B399" s="16">
        <v>45951.0</v>
      </c>
      <c r="C399" s="17" t="s">
        <v>443</v>
      </c>
      <c r="D399" s="18" t="s">
        <v>25</v>
      </c>
      <c r="E399" s="18"/>
      <c r="F399" s="17" t="s">
        <v>9</v>
      </c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ht="15.75" customHeight="1">
      <c r="A400" s="8">
        <v>2096.0</v>
      </c>
      <c r="B400" s="9">
        <v>45951.0</v>
      </c>
      <c r="C400" s="4" t="s">
        <v>444</v>
      </c>
      <c r="D400" s="8" t="s">
        <v>11</v>
      </c>
      <c r="E400" s="8"/>
      <c r="F400" s="4" t="s">
        <v>9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8">
        <v>2097.0</v>
      </c>
      <c r="B401" s="9">
        <v>45951.0</v>
      </c>
      <c r="C401" s="4" t="s">
        <v>445</v>
      </c>
      <c r="D401" s="8" t="s">
        <v>30</v>
      </c>
      <c r="E401" s="8" t="s">
        <v>29</v>
      </c>
      <c r="F401" s="4" t="s">
        <v>14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8">
        <v>2098.0</v>
      </c>
      <c r="B402" s="9">
        <v>45951.0</v>
      </c>
      <c r="C402" s="4" t="s">
        <v>446</v>
      </c>
      <c r="D402" s="8" t="s">
        <v>13</v>
      </c>
      <c r="E402" s="8"/>
      <c r="F402" s="4" t="s">
        <v>23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8">
        <v>2099.0</v>
      </c>
      <c r="B403" s="9">
        <v>45951.0</v>
      </c>
      <c r="C403" s="4" t="s">
        <v>447</v>
      </c>
      <c r="D403" s="8" t="s">
        <v>13</v>
      </c>
      <c r="E403" s="8"/>
      <c r="F403" s="4" t="s">
        <v>23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8">
        <v>2100.0</v>
      </c>
      <c r="B404" s="9">
        <v>45951.0</v>
      </c>
      <c r="C404" s="4" t="s">
        <v>448</v>
      </c>
      <c r="D404" s="8" t="s">
        <v>13</v>
      </c>
      <c r="E404" s="8"/>
      <c r="F404" s="4" t="s">
        <v>23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8">
        <v>2101.0</v>
      </c>
      <c r="B405" s="9">
        <v>45951.0</v>
      </c>
      <c r="C405" s="4" t="s">
        <v>449</v>
      </c>
      <c r="D405" s="8" t="s">
        <v>13</v>
      </c>
      <c r="E405" s="8"/>
      <c r="F405" s="4" t="s">
        <v>23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19">
        <v>2102.0</v>
      </c>
      <c r="B406" s="20">
        <v>45951.0</v>
      </c>
      <c r="C406" s="21" t="s">
        <v>450</v>
      </c>
      <c r="D406" s="19" t="s">
        <v>451</v>
      </c>
      <c r="E406" s="19"/>
      <c r="F406" s="21" t="s">
        <v>106</v>
      </c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 ht="15.75" customHeight="1">
      <c r="A407" s="8">
        <v>2103.0</v>
      </c>
      <c r="B407" s="9">
        <v>45951.0</v>
      </c>
      <c r="C407" s="4" t="s">
        <v>452</v>
      </c>
      <c r="D407" s="8" t="s">
        <v>77</v>
      </c>
      <c r="E407" s="8"/>
      <c r="F407" s="4" t="s">
        <v>14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8">
        <v>2104.0</v>
      </c>
      <c r="B408" s="9">
        <v>45951.0</v>
      </c>
      <c r="C408" s="4" t="s">
        <v>453</v>
      </c>
      <c r="D408" s="8" t="s">
        <v>13</v>
      </c>
      <c r="E408" s="8"/>
      <c r="F408" s="4" t="s">
        <v>23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8">
        <v>2105.0</v>
      </c>
      <c r="B409" s="9">
        <v>45951.0</v>
      </c>
      <c r="C409" s="4" t="s">
        <v>454</v>
      </c>
      <c r="D409" s="8" t="s">
        <v>13</v>
      </c>
      <c r="E409" s="8"/>
      <c r="F409" s="4" t="s">
        <v>23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8">
        <v>2106.0</v>
      </c>
      <c r="B410" s="9">
        <v>45951.0</v>
      </c>
      <c r="C410" s="4" t="s">
        <v>455</v>
      </c>
      <c r="D410" s="8" t="s">
        <v>13</v>
      </c>
      <c r="E410" s="8"/>
      <c r="F410" s="4" t="s">
        <v>23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8">
        <v>2107.0</v>
      </c>
      <c r="B411" s="9">
        <v>45951.0</v>
      </c>
      <c r="C411" s="4" t="s">
        <v>456</v>
      </c>
      <c r="D411" s="8" t="s">
        <v>13</v>
      </c>
      <c r="E411" s="8"/>
      <c r="F411" s="4" t="s">
        <v>23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8">
        <v>2108.0</v>
      </c>
      <c r="B412" s="9">
        <v>45951.0</v>
      </c>
      <c r="C412" s="4" t="s">
        <v>457</v>
      </c>
      <c r="D412" s="8" t="s">
        <v>13</v>
      </c>
      <c r="E412" s="8"/>
      <c r="F412" s="4" t="s">
        <v>23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8">
        <v>2109.0</v>
      </c>
      <c r="B413" s="9">
        <v>45951.0</v>
      </c>
      <c r="C413" s="4" t="s">
        <v>458</v>
      </c>
      <c r="D413" s="8" t="s">
        <v>13</v>
      </c>
      <c r="E413" s="8"/>
      <c r="F413" s="4" t="s">
        <v>23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8">
        <v>2110.0</v>
      </c>
      <c r="B414" s="9">
        <v>45951.0</v>
      </c>
      <c r="C414" s="4" t="s">
        <v>459</v>
      </c>
      <c r="D414" s="8" t="s">
        <v>13</v>
      </c>
      <c r="E414" s="8"/>
      <c r="F414" s="4" t="s">
        <v>23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8">
        <v>2111.0</v>
      </c>
      <c r="B415" s="9">
        <v>45951.0</v>
      </c>
      <c r="C415" s="4" t="s">
        <v>460</v>
      </c>
      <c r="D415" s="8" t="s">
        <v>13</v>
      </c>
      <c r="E415" s="8"/>
      <c r="F415" s="4" t="s">
        <v>23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8">
        <v>2112.0</v>
      </c>
      <c r="B416" s="9">
        <v>45951.0</v>
      </c>
      <c r="C416" s="4" t="s">
        <v>461</v>
      </c>
      <c r="D416" s="8" t="s">
        <v>13</v>
      </c>
      <c r="E416" s="8"/>
      <c r="F416" s="4" t="s">
        <v>23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8">
        <v>2113.0</v>
      </c>
      <c r="B417" s="9">
        <v>45951.0</v>
      </c>
      <c r="C417" s="4" t="s">
        <v>462</v>
      </c>
      <c r="D417" s="8" t="s">
        <v>13</v>
      </c>
      <c r="E417" s="8"/>
      <c r="F417" s="4" t="s">
        <v>23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8">
        <v>2114.0</v>
      </c>
      <c r="B418" s="9">
        <v>45952.0</v>
      </c>
      <c r="C418" s="4" t="s">
        <v>463</v>
      </c>
      <c r="D418" s="8" t="s">
        <v>30</v>
      </c>
      <c r="E418" s="8" t="s">
        <v>29</v>
      </c>
      <c r="F418" s="4" t="s">
        <v>464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8">
        <v>2115.0</v>
      </c>
      <c r="B419" s="9">
        <v>45952.0</v>
      </c>
      <c r="C419" s="4" t="s">
        <v>463</v>
      </c>
      <c r="D419" s="8" t="s">
        <v>30</v>
      </c>
      <c r="E419" s="8" t="s">
        <v>29</v>
      </c>
      <c r="F419" s="4" t="s">
        <v>464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8">
        <v>2116.0</v>
      </c>
      <c r="B420" s="9">
        <v>45952.0</v>
      </c>
      <c r="C420" s="4" t="s">
        <v>463</v>
      </c>
      <c r="D420" s="8" t="s">
        <v>30</v>
      </c>
      <c r="E420" s="8" t="s">
        <v>29</v>
      </c>
      <c r="F420" s="4" t="s">
        <v>464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8">
        <v>2117.0</v>
      </c>
      <c r="B421" s="9">
        <v>45952.0</v>
      </c>
      <c r="C421" s="4" t="s">
        <v>465</v>
      </c>
      <c r="D421" s="8" t="s">
        <v>13</v>
      </c>
      <c r="E421" s="8"/>
      <c r="F421" s="4" t="s">
        <v>14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8">
        <v>2118.0</v>
      </c>
      <c r="B422" s="9">
        <v>45952.0</v>
      </c>
      <c r="C422" s="4" t="s">
        <v>466</v>
      </c>
      <c r="D422" s="8" t="s">
        <v>13</v>
      </c>
      <c r="E422" s="8"/>
      <c r="F422" s="4" t="s">
        <v>14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8">
        <v>2119.0</v>
      </c>
      <c r="B423" s="9">
        <v>45952.0</v>
      </c>
      <c r="C423" s="4" t="s">
        <v>463</v>
      </c>
      <c r="D423" s="8" t="s">
        <v>30</v>
      </c>
      <c r="E423" s="8" t="s">
        <v>29</v>
      </c>
      <c r="F423" s="4" t="s">
        <v>464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8">
        <v>2120.0</v>
      </c>
      <c r="B424" s="9">
        <v>45952.0</v>
      </c>
      <c r="C424" s="4" t="s">
        <v>463</v>
      </c>
      <c r="D424" s="8" t="s">
        <v>30</v>
      </c>
      <c r="E424" s="8" t="s">
        <v>29</v>
      </c>
      <c r="F424" s="4" t="s">
        <v>464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8">
        <v>2121.0</v>
      </c>
      <c r="B425" s="9">
        <v>45952.0</v>
      </c>
      <c r="C425" s="4" t="s">
        <v>467</v>
      </c>
      <c r="D425" s="8" t="s">
        <v>436</v>
      </c>
      <c r="E425" s="8"/>
      <c r="F425" s="4" t="s">
        <v>14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8">
        <v>2122.0</v>
      </c>
      <c r="B426" s="9">
        <v>45952.0</v>
      </c>
      <c r="C426" s="4" t="s">
        <v>463</v>
      </c>
      <c r="D426" s="8" t="s">
        <v>30</v>
      </c>
      <c r="E426" s="8" t="s">
        <v>29</v>
      </c>
      <c r="F426" s="4" t="s">
        <v>464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8">
        <v>2123.0</v>
      </c>
      <c r="B427" s="9">
        <v>45952.0</v>
      </c>
      <c r="C427" s="4" t="s">
        <v>468</v>
      </c>
      <c r="D427" s="8" t="s">
        <v>25</v>
      </c>
      <c r="E427" s="8"/>
      <c r="F427" s="4" t="s">
        <v>9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8">
        <v>2124.0</v>
      </c>
      <c r="B428" s="9">
        <v>45953.0</v>
      </c>
      <c r="C428" s="4" t="s">
        <v>469</v>
      </c>
      <c r="D428" s="8" t="s">
        <v>77</v>
      </c>
      <c r="E428" s="8"/>
      <c r="F428" s="4" t="s">
        <v>464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8">
        <v>2125.0</v>
      </c>
      <c r="B429" s="9">
        <v>45953.0</v>
      </c>
      <c r="C429" s="4" t="s">
        <v>470</v>
      </c>
      <c r="D429" s="8" t="s">
        <v>30</v>
      </c>
      <c r="E429" s="8"/>
      <c r="F429" s="4" t="s">
        <v>14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8">
        <v>2126.0</v>
      </c>
      <c r="B430" s="9">
        <v>45953.0</v>
      </c>
      <c r="C430" s="4" t="s">
        <v>471</v>
      </c>
      <c r="D430" s="8" t="s">
        <v>11</v>
      </c>
      <c r="E430" s="8"/>
      <c r="F430" s="4" t="s">
        <v>9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8">
        <v>2127.0</v>
      </c>
      <c r="B431" s="9">
        <v>45953.0</v>
      </c>
      <c r="C431" s="4" t="s">
        <v>472</v>
      </c>
      <c r="D431" s="8" t="s">
        <v>25</v>
      </c>
      <c r="E431" s="8"/>
      <c r="F431" s="4" t="s">
        <v>9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8">
        <v>2128.0</v>
      </c>
      <c r="B432" s="9">
        <v>45953.0</v>
      </c>
      <c r="C432" s="4" t="s">
        <v>473</v>
      </c>
      <c r="D432" s="8" t="s">
        <v>34</v>
      </c>
      <c r="E432" s="8"/>
      <c r="F432" s="4" t="s">
        <v>23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8">
        <v>2129.0</v>
      </c>
      <c r="B433" s="9">
        <v>45953.0</v>
      </c>
      <c r="C433" s="4" t="s">
        <v>474</v>
      </c>
      <c r="D433" s="8" t="s">
        <v>30</v>
      </c>
      <c r="E433" s="8"/>
      <c r="F433" s="4" t="s">
        <v>14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8">
        <v>2130.0</v>
      </c>
      <c r="B434" s="9">
        <v>45953.0</v>
      </c>
      <c r="C434" s="4" t="s">
        <v>475</v>
      </c>
      <c r="D434" s="8" t="s">
        <v>11</v>
      </c>
      <c r="E434" s="8"/>
      <c r="F434" s="4" t="s">
        <v>9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8">
        <v>2131.0</v>
      </c>
      <c r="B435" s="9">
        <v>45953.0</v>
      </c>
      <c r="C435" s="4" t="s">
        <v>476</v>
      </c>
      <c r="D435" s="8" t="s">
        <v>13</v>
      </c>
      <c r="E435" s="8"/>
      <c r="F435" s="4" t="s">
        <v>14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8">
        <v>2132.0</v>
      </c>
      <c r="B436" s="9">
        <v>45953.0</v>
      </c>
      <c r="C436" s="4" t="s">
        <v>476</v>
      </c>
      <c r="D436" s="8" t="s">
        <v>13</v>
      </c>
      <c r="E436" s="8"/>
      <c r="F436" s="4" t="s">
        <v>23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8">
        <v>2133.0</v>
      </c>
      <c r="B437" s="9">
        <v>45953.0</v>
      </c>
      <c r="C437" s="4" t="s">
        <v>477</v>
      </c>
      <c r="D437" s="8" t="s">
        <v>13</v>
      </c>
      <c r="E437" s="8"/>
      <c r="F437" s="4" t="s">
        <v>23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8">
        <v>2134.0</v>
      </c>
      <c r="B438" s="9">
        <v>45953.0</v>
      </c>
      <c r="C438" s="4" t="s">
        <v>478</v>
      </c>
      <c r="D438" s="8" t="s">
        <v>13</v>
      </c>
      <c r="E438" s="8"/>
      <c r="F438" s="4" t="s">
        <v>23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8">
        <v>2135.0</v>
      </c>
      <c r="B439" s="9">
        <v>45953.0</v>
      </c>
      <c r="C439" s="4" t="s">
        <v>479</v>
      </c>
      <c r="D439" s="8" t="s">
        <v>30</v>
      </c>
      <c r="E439" s="8"/>
      <c r="F439" s="4" t="s">
        <v>14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8">
        <v>2136.0</v>
      </c>
      <c r="B440" s="9">
        <v>45953.0</v>
      </c>
      <c r="C440" s="4" t="s">
        <v>480</v>
      </c>
      <c r="D440" s="8" t="s">
        <v>13</v>
      </c>
      <c r="E440" s="8"/>
      <c r="F440" s="4" t="s">
        <v>23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8">
        <v>2137.0</v>
      </c>
      <c r="B441" s="9">
        <v>45953.0</v>
      </c>
      <c r="C441" s="4" t="s">
        <v>481</v>
      </c>
      <c r="D441" s="8" t="s">
        <v>8</v>
      </c>
      <c r="E441" s="8"/>
      <c r="F441" s="4" t="s">
        <v>14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8">
        <v>2138.0</v>
      </c>
      <c r="B442" s="9">
        <v>45953.0</v>
      </c>
      <c r="C442" s="4" t="s">
        <v>482</v>
      </c>
      <c r="D442" s="8" t="s">
        <v>13</v>
      </c>
      <c r="E442" s="8"/>
      <c r="F442" s="4" t="s">
        <v>23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8">
        <v>2139.0</v>
      </c>
      <c r="B443" s="9">
        <v>45953.0</v>
      </c>
      <c r="C443" s="4" t="s">
        <v>465</v>
      </c>
      <c r="D443" s="8" t="s">
        <v>13</v>
      </c>
      <c r="E443" s="8"/>
      <c r="F443" s="4" t="s">
        <v>23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8">
        <v>2140.0</v>
      </c>
      <c r="B444" s="9">
        <v>45954.0</v>
      </c>
      <c r="C444" s="4" t="s">
        <v>483</v>
      </c>
      <c r="D444" s="8" t="s">
        <v>13</v>
      </c>
      <c r="E444" s="8"/>
      <c r="F444" s="4" t="s">
        <v>464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8">
        <v>2141.0</v>
      </c>
      <c r="B445" s="9">
        <v>45954.0</v>
      </c>
      <c r="C445" s="4" t="s">
        <v>484</v>
      </c>
      <c r="D445" s="8" t="s">
        <v>25</v>
      </c>
      <c r="E445" s="8" t="s">
        <v>11</v>
      </c>
      <c r="F445" s="4" t="s">
        <v>464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8">
        <v>2142.0</v>
      </c>
      <c r="B446" s="9">
        <v>45681.0</v>
      </c>
      <c r="C446" s="4" t="s">
        <v>485</v>
      </c>
      <c r="D446" s="8" t="s">
        <v>11</v>
      </c>
      <c r="E446" s="8"/>
      <c r="F446" s="4" t="s">
        <v>464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8">
        <v>2143.0</v>
      </c>
      <c r="B447" s="9">
        <v>45954.0</v>
      </c>
      <c r="C447" s="4" t="s">
        <v>486</v>
      </c>
      <c r="D447" s="8" t="s">
        <v>11</v>
      </c>
      <c r="E447" s="8"/>
      <c r="F447" s="4" t="s">
        <v>464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8">
        <v>2144.0</v>
      </c>
      <c r="B448" s="9">
        <v>45954.0</v>
      </c>
      <c r="C448" s="4" t="s">
        <v>487</v>
      </c>
      <c r="D448" s="8" t="s">
        <v>77</v>
      </c>
      <c r="E448" s="8"/>
      <c r="F448" s="4" t="s">
        <v>464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8">
        <v>2145.0</v>
      </c>
      <c r="B449" s="9">
        <v>45954.0</v>
      </c>
      <c r="C449" s="4" t="s">
        <v>488</v>
      </c>
      <c r="D449" s="8" t="s">
        <v>13</v>
      </c>
      <c r="E449" s="8"/>
      <c r="F449" s="4" t="s">
        <v>464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8">
        <v>2146.0</v>
      </c>
      <c r="B450" s="9">
        <v>45958.0</v>
      </c>
      <c r="C450" s="4" t="s">
        <v>489</v>
      </c>
      <c r="D450" s="8" t="s">
        <v>13</v>
      </c>
      <c r="E450" s="8"/>
      <c r="F450" s="4" t="s">
        <v>464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8">
        <v>2147.0</v>
      </c>
      <c r="B451" s="9">
        <v>45958.0</v>
      </c>
      <c r="C451" s="4" t="s">
        <v>490</v>
      </c>
      <c r="D451" s="8" t="s">
        <v>491</v>
      </c>
      <c r="E451" s="8"/>
      <c r="F451" s="4" t="s">
        <v>137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8">
        <v>2148.0</v>
      </c>
      <c r="B452" s="9">
        <v>45958.0</v>
      </c>
      <c r="C452" s="4" t="s">
        <v>492</v>
      </c>
      <c r="D452" s="8" t="s">
        <v>491</v>
      </c>
      <c r="E452" s="8"/>
      <c r="F452" s="4" t="s">
        <v>137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8">
        <v>2149.0</v>
      </c>
      <c r="B453" s="9">
        <v>45958.0</v>
      </c>
      <c r="C453" s="4" t="s">
        <v>493</v>
      </c>
      <c r="D453" s="8" t="s">
        <v>491</v>
      </c>
      <c r="E453" s="8"/>
      <c r="F453" s="4" t="s">
        <v>494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8">
        <v>2150.0</v>
      </c>
      <c r="B454" s="9">
        <v>45958.0</v>
      </c>
      <c r="C454" s="4" t="s">
        <v>495</v>
      </c>
      <c r="D454" s="8" t="s">
        <v>77</v>
      </c>
      <c r="E454" s="8"/>
      <c r="F454" s="4" t="s">
        <v>464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8">
        <v>2151.0</v>
      </c>
      <c r="B455" s="9">
        <v>45959.0</v>
      </c>
      <c r="C455" s="4" t="s">
        <v>496</v>
      </c>
      <c r="D455" s="8" t="s">
        <v>77</v>
      </c>
      <c r="E455" s="8"/>
      <c r="F455" s="4" t="s">
        <v>464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8">
        <v>2152.0</v>
      </c>
      <c r="B456" s="9">
        <v>45959.0</v>
      </c>
      <c r="C456" s="4" t="s">
        <v>497</v>
      </c>
      <c r="D456" s="8" t="s">
        <v>11</v>
      </c>
      <c r="E456" s="8"/>
      <c r="F456" s="4" t="s">
        <v>9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8">
        <v>2153.0</v>
      </c>
      <c r="B457" s="9">
        <v>45959.0</v>
      </c>
      <c r="C457" s="4" t="s">
        <v>498</v>
      </c>
      <c r="D457" s="8" t="s">
        <v>229</v>
      </c>
      <c r="E457" s="8"/>
      <c r="F457" s="4" t="s">
        <v>9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8">
        <v>2154.0</v>
      </c>
      <c r="B458" s="9">
        <v>45959.0</v>
      </c>
      <c r="C458" s="4" t="s">
        <v>499</v>
      </c>
      <c r="D458" s="8" t="s">
        <v>13</v>
      </c>
      <c r="E458" s="8"/>
      <c r="F458" s="4" t="s">
        <v>23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8">
        <v>2155.0</v>
      </c>
      <c r="B459" s="9">
        <v>45959.0</v>
      </c>
      <c r="C459" s="4" t="s">
        <v>500</v>
      </c>
      <c r="D459" s="8" t="s">
        <v>11</v>
      </c>
      <c r="E459" s="8"/>
      <c r="F459" s="4" t="s">
        <v>9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8">
        <v>2156.0</v>
      </c>
      <c r="B460" s="9">
        <v>45959.0</v>
      </c>
      <c r="C460" s="4" t="s">
        <v>501</v>
      </c>
      <c r="D460" s="8" t="s">
        <v>11</v>
      </c>
      <c r="E460" s="8"/>
      <c r="F460" s="4" t="s">
        <v>9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8">
        <v>2157.0</v>
      </c>
      <c r="B461" s="9">
        <v>45959.0</v>
      </c>
      <c r="C461" s="4" t="s">
        <v>502</v>
      </c>
      <c r="D461" s="8" t="s">
        <v>13</v>
      </c>
      <c r="E461" s="8"/>
      <c r="F461" s="4" t="s">
        <v>23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8">
        <v>2158.0</v>
      </c>
      <c r="B462" s="9">
        <v>45959.0</v>
      </c>
      <c r="C462" s="4" t="s">
        <v>503</v>
      </c>
      <c r="D462" s="8" t="s">
        <v>13</v>
      </c>
      <c r="E462" s="8"/>
      <c r="F462" s="4" t="s">
        <v>23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8">
        <v>2159.0</v>
      </c>
      <c r="B463" s="9">
        <v>45959.0</v>
      </c>
      <c r="C463" s="4" t="s">
        <v>504</v>
      </c>
      <c r="D463" s="8" t="s">
        <v>13</v>
      </c>
      <c r="E463" s="8"/>
      <c r="F463" s="4" t="s">
        <v>464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8">
        <v>2160.0</v>
      </c>
      <c r="B464" s="9">
        <v>45959.0</v>
      </c>
      <c r="C464" s="4" t="s">
        <v>505</v>
      </c>
      <c r="D464" s="8" t="s">
        <v>77</v>
      </c>
      <c r="E464" s="8"/>
      <c r="F464" s="4" t="s">
        <v>464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8">
        <v>2161.0</v>
      </c>
      <c r="B465" s="9">
        <v>45959.0</v>
      </c>
      <c r="C465" s="4" t="s">
        <v>506</v>
      </c>
      <c r="D465" s="8" t="s">
        <v>13</v>
      </c>
      <c r="E465" s="8"/>
      <c r="F465" s="4" t="s">
        <v>23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8">
        <v>2162.0</v>
      </c>
      <c r="B466" s="9">
        <v>45959.0</v>
      </c>
      <c r="C466" s="4" t="s">
        <v>507</v>
      </c>
      <c r="D466" s="8" t="s">
        <v>13</v>
      </c>
      <c r="E466" s="8"/>
      <c r="F466" s="4" t="s">
        <v>23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8">
        <v>2163.0</v>
      </c>
      <c r="B467" s="9">
        <v>45959.0</v>
      </c>
      <c r="C467" s="4" t="s">
        <v>508</v>
      </c>
      <c r="D467" s="8" t="s">
        <v>20</v>
      </c>
      <c r="E467" s="8"/>
      <c r="F467" s="4" t="s">
        <v>23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8">
        <v>2164.0</v>
      </c>
      <c r="B468" s="9">
        <v>45959.0</v>
      </c>
      <c r="C468" s="4" t="s">
        <v>509</v>
      </c>
      <c r="D468" s="8" t="s">
        <v>29</v>
      </c>
      <c r="E468" s="8"/>
      <c r="F468" s="4" t="s">
        <v>14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8">
        <v>2165.0</v>
      </c>
      <c r="B469" s="9">
        <v>45959.0</v>
      </c>
      <c r="C469" s="4" t="s">
        <v>477</v>
      </c>
      <c r="D469" s="8" t="s">
        <v>13</v>
      </c>
      <c r="E469" s="8"/>
      <c r="F469" s="4" t="s">
        <v>23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8">
        <v>2166.0</v>
      </c>
      <c r="B470" s="9">
        <v>45959.0</v>
      </c>
      <c r="C470" s="4" t="s">
        <v>510</v>
      </c>
      <c r="D470" s="8" t="s">
        <v>8</v>
      </c>
      <c r="E470" s="8"/>
      <c r="F470" s="4" t="s">
        <v>9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8">
        <v>2167.0</v>
      </c>
      <c r="B471" s="9">
        <v>45960.0</v>
      </c>
      <c r="C471" s="4" t="s">
        <v>511</v>
      </c>
      <c r="D471" s="8" t="s">
        <v>11</v>
      </c>
      <c r="E471" s="8"/>
      <c r="F471" s="4" t="s">
        <v>9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8">
        <v>2168.0</v>
      </c>
      <c r="B472" s="9">
        <v>45960.0</v>
      </c>
      <c r="C472" s="4" t="s">
        <v>512</v>
      </c>
      <c r="D472" s="8" t="s">
        <v>136</v>
      </c>
      <c r="E472" s="8"/>
      <c r="F472" s="4" t="s">
        <v>464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8">
        <v>2169.0</v>
      </c>
      <c r="B473" s="9">
        <v>45960.0</v>
      </c>
      <c r="C473" s="4" t="s">
        <v>484</v>
      </c>
      <c r="D473" s="8" t="s">
        <v>25</v>
      </c>
      <c r="E473" s="8" t="s">
        <v>11</v>
      </c>
      <c r="F473" s="4" t="s">
        <v>464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8">
        <v>2170.0</v>
      </c>
      <c r="B474" s="9">
        <v>45960.0</v>
      </c>
      <c r="C474" s="4" t="s">
        <v>513</v>
      </c>
      <c r="D474" s="8" t="s">
        <v>11</v>
      </c>
      <c r="E474" s="8"/>
      <c r="F474" s="4" t="s">
        <v>9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11">
        <v>2171.0</v>
      </c>
      <c r="B475" s="9">
        <v>45960.0</v>
      </c>
      <c r="C475" s="4" t="s">
        <v>514</v>
      </c>
      <c r="D475" s="8" t="s">
        <v>13</v>
      </c>
      <c r="E475" s="8"/>
      <c r="F475" s="4" t="s">
        <v>74</v>
      </c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ht="15.75" customHeight="1">
      <c r="A476" s="8">
        <v>2172.0</v>
      </c>
      <c r="B476" s="9">
        <v>45960.0</v>
      </c>
      <c r="C476" s="4" t="s">
        <v>515</v>
      </c>
      <c r="D476" s="8" t="s">
        <v>11</v>
      </c>
      <c r="E476" s="8"/>
      <c r="F476" s="4" t="s">
        <v>464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8">
        <v>2173.0</v>
      </c>
      <c r="B477" s="9">
        <v>45960.0</v>
      </c>
      <c r="C477" s="4" t="s">
        <v>516</v>
      </c>
      <c r="D477" s="8" t="s">
        <v>11</v>
      </c>
      <c r="E477" s="8"/>
      <c r="F477" s="4" t="s">
        <v>9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8">
        <v>2174.0</v>
      </c>
      <c r="B478" s="9">
        <v>45960.0</v>
      </c>
      <c r="C478" s="4" t="s">
        <v>517</v>
      </c>
      <c r="D478" s="8" t="s">
        <v>13</v>
      </c>
      <c r="E478" s="8"/>
      <c r="F478" s="4" t="s">
        <v>23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8">
        <v>2175.0</v>
      </c>
      <c r="B479" s="9">
        <v>45960.0</v>
      </c>
      <c r="C479" s="4" t="s">
        <v>518</v>
      </c>
      <c r="D479" s="8" t="s">
        <v>11</v>
      </c>
      <c r="E479" s="8"/>
      <c r="F479" s="4" t="s">
        <v>9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8">
        <v>2176.0</v>
      </c>
      <c r="B480" s="9">
        <v>45960.0</v>
      </c>
      <c r="C480" s="4" t="s">
        <v>517</v>
      </c>
      <c r="D480" s="8" t="s">
        <v>13</v>
      </c>
      <c r="E480" s="8"/>
      <c r="F480" s="4" t="s">
        <v>23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8">
        <v>2177.0</v>
      </c>
      <c r="B481" s="9">
        <v>45960.0</v>
      </c>
      <c r="C481" s="4" t="s">
        <v>519</v>
      </c>
      <c r="D481" s="8" t="s">
        <v>436</v>
      </c>
      <c r="E481" s="8"/>
      <c r="F481" s="4" t="s">
        <v>464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8">
        <v>2178.0</v>
      </c>
      <c r="B482" s="9">
        <v>45960.0</v>
      </c>
      <c r="C482" s="4" t="s">
        <v>520</v>
      </c>
      <c r="D482" s="8" t="s">
        <v>34</v>
      </c>
      <c r="E482" s="8"/>
      <c r="F482" s="4" t="s">
        <v>23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8">
        <v>2179.0</v>
      </c>
      <c r="B483" s="9">
        <v>45960.0</v>
      </c>
      <c r="C483" s="4" t="s">
        <v>521</v>
      </c>
      <c r="D483" s="8" t="s">
        <v>11</v>
      </c>
      <c r="E483" s="8"/>
      <c r="F483" s="4" t="s">
        <v>9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8">
        <v>2180.0</v>
      </c>
      <c r="B484" s="9">
        <v>45960.0</v>
      </c>
      <c r="C484" s="4" t="s">
        <v>522</v>
      </c>
      <c r="D484" s="8" t="s">
        <v>13</v>
      </c>
      <c r="E484" s="8"/>
      <c r="F484" s="4" t="s">
        <v>23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8">
        <v>2181.0</v>
      </c>
      <c r="B485" s="9">
        <v>45960.0</v>
      </c>
      <c r="C485" s="4" t="s">
        <v>523</v>
      </c>
      <c r="D485" s="8" t="s">
        <v>22</v>
      </c>
      <c r="E485" s="8"/>
      <c r="F485" s="4" t="s">
        <v>464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8">
        <v>2182.0</v>
      </c>
      <c r="B486" s="9">
        <v>45960.0</v>
      </c>
      <c r="C486" s="4" t="s">
        <v>524</v>
      </c>
      <c r="D486" s="8" t="s">
        <v>525</v>
      </c>
      <c r="E486" s="8" t="s">
        <v>29</v>
      </c>
      <c r="F486" s="4" t="s">
        <v>14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8">
        <v>2183.0</v>
      </c>
      <c r="B487" s="9">
        <v>45960.0</v>
      </c>
      <c r="C487" s="4" t="s">
        <v>526</v>
      </c>
      <c r="D487" s="8" t="s">
        <v>436</v>
      </c>
      <c r="E487" s="8"/>
      <c r="F487" s="4" t="s">
        <v>464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8">
        <v>2184.0</v>
      </c>
      <c r="B488" s="9">
        <v>45960.0</v>
      </c>
      <c r="C488" s="4" t="s">
        <v>527</v>
      </c>
      <c r="D488" s="8" t="s">
        <v>13</v>
      </c>
      <c r="E488" s="8"/>
      <c r="F488" s="4" t="s">
        <v>23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8">
        <v>2185.0</v>
      </c>
      <c r="B489" s="9">
        <v>45960.0</v>
      </c>
      <c r="C489" s="4" t="s">
        <v>528</v>
      </c>
      <c r="D489" s="8" t="s">
        <v>13</v>
      </c>
      <c r="E489" s="8"/>
      <c r="F489" s="4" t="s">
        <v>23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8">
        <v>2186.0</v>
      </c>
      <c r="B490" s="9">
        <v>45960.0</v>
      </c>
      <c r="C490" s="4" t="s">
        <v>529</v>
      </c>
      <c r="D490" s="8" t="s">
        <v>13</v>
      </c>
      <c r="E490" s="8"/>
      <c r="F490" s="4" t="s">
        <v>23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8">
        <v>2187.0</v>
      </c>
      <c r="B491" s="9">
        <v>45960.0</v>
      </c>
      <c r="C491" s="4" t="s">
        <v>530</v>
      </c>
      <c r="D491" s="8" t="s">
        <v>25</v>
      </c>
      <c r="E491" s="8"/>
      <c r="F491" s="4" t="s">
        <v>9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8">
        <v>2188.0</v>
      </c>
      <c r="B492" s="9">
        <v>45960.0</v>
      </c>
      <c r="C492" s="4" t="s">
        <v>531</v>
      </c>
      <c r="D492" s="8" t="s">
        <v>532</v>
      </c>
      <c r="E492" s="8"/>
      <c r="F492" s="4" t="s">
        <v>106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8">
        <v>2189.0</v>
      </c>
      <c r="B493" s="9">
        <v>45960.0</v>
      </c>
      <c r="C493" s="4" t="s">
        <v>533</v>
      </c>
      <c r="D493" s="8" t="s">
        <v>77</v>
      </c>
      <c r="E493" s="8"/>
      <c r="F493" s="4" t="s">
        <v>464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8">
        <v>2190.0</v>
      </c>
      <c r="B494" s="9">
        <v>45960.0</v>
      </c>
      <c r="C494" s="4" t="s">
        <v>534</v>
      </c>
      <c r="D494" s="8" t="s">
        <v>11</v>
      </c>
      <c r="E494" s="8"/>
      <c r="F494" s="4" t="s">
        <v>9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8">
        <v>2191.0</v>
      </c>
      <c r="B495" s="9">
        <v>45960.0</v>
      </c>
      <c r="C495" s="4" t="s">
        <v>535</v>
      </c>
      <c r="D495" s="8" t="s">
        <v>11</v>
      </c>
      <c r="E495" s="8"/>
      <c r="F495" s="4" t="s">
        <v>9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8">
        <v>2192.0</v>
      </c>
      <c r="B496" s="9">
        <v>45960.0</v>
      </c>
      <c r="C496" s="4" t="s">
        <v>536</v>
      </c>
      <c r="D496" s="8" t="s">
        <v>11</v>
      </c>
      <c r="E496" s="8"/>
      <c r="F496" s="4" t="s">
        <v>9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11">
        <v>2193.0</v>
      </c>
      <c r="B497" s="9">
        <v>45961.0</v>
      </c>
      <c r="C497" s="4" t="s">
        <v>537</v>
      </c>
      <c r="D497" s="8" t="s">
        <v>77</v>
      </c>
      <c r="E497" s="8"/>
      <c r="F497" s="4" t="s">
        <v>74</v>
      </c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ht="15.75" customHeight="1">
      <c r="A498" s="11">
        <v>2194.0</v>
      </c>
      <c r="B498" s="9">
        <v>45961.0</v>
      </c>
      <c r="C498" s="4" t="s">
        <v>538</v>
      </c>
      <c r="D498" s="8" t="s">
        <v>77</v>
      </c>
      <c r="E498" s="8"/>
      <c r="F498" s="4" t="s">
        <v>74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ht="15.75" customHeight="1">
      <c r="A499" s="8">
        <v>2195.0</v>
      </c>
      <c r="B499" s="9">
        <v>45961.0</v>
      </c>
      <c r="C499" s="4" t="s">
        <v>539</v>
      </c>
      <c r="D499" s="8" t="s">
        <v>34</v>
      </c>
      <c r="E499" s="8"/>
      <c r="F499" s="4" t="s">
        <v>23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8">
        <v>2196.0</v>
      </c>
      <c r="B500" s="9">
        <v>45961.0</v>
      </c>
      <c r="C500" s="4" t="s">
        <v>540</v>
      </c>
      <c r="D500" s="8" t="s">
        <v>11</v>
      </c>
      <c r="E500" s="8"/>
      <c r="F500" s="4" t="s">
        <v>9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8">
        <v>2197.0</v>
      </c>
      <c r="B501" s="9">
        <v>45961.0</v>
      </c>
      <c r="C501" s="4" t="s">
        <v>541</v>
      </c>
      <c r="D501" s="8" t="s">
        <v>29</v>
      </c>
      <c r="E501" s="8"/>
      <c r="F501" s="4" t="s">
        <v>14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8">
        <v>2198.0</v>
      </c>
      <c r="B502" s="9">
        <v>45964.0</v>
      </c>
      <c r="C502" s="4" t="s">
        <v>542</v>
      </c>
      <c r="D502" s="8" t="s">
        <v>13</v>
      </c>
      <c r="E502" s="8"/>
      <c r="F502" s="4" t="s">
        <v>23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8">
        <v>2199.0</v>
      </c>
      <c r="B503" s="9">
        <v>45964.0</v>
      </c>
      <c r="C503" s="4" t="s">
        <v>543</v>
      </c>
      <c r="D503" s="8" t="s">
        <v>13</v>
      </c>
      <c r="E503" s="8"/>
      <c r="F503" s="4" t="s">
        <v>23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8">
        <v>2200.0</v>
      </c>
      <c r="B504" s="9">
        <v>45964.0</v>
      </c>
      <c r="C504" s="4" t="s">
        <v>544</v>
      </c>
      <c r="D504" s="8" t="s">
        <v>34</v>
      </c>
      <c r="E504" s="8"/>
      <c r="F504" s="4" t="s">
        <v>23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8">
        <v>2201.0</v>
      </c>
      <c r="B505" s="9">
        <v>45964.0</v>
      </c>
      <c r="C505" s="4" t="s">
        <v>545</v>
      </c>
      <c r="D505" s="8" t="s">
        <v>11</v>
      </c>
      <c r="E505" s="8"/>
      <c r="F505" s="4" t="s">
        <v>9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8">
        <v>2202.0</v>
      </c>
      <c r="B506" s="9">
        <v>45964.0</v>
      </c>
      <c r="C506" s="4" t="s">
        <v>546</v>
      </c>
      <c r="D506" s="8" t="s">
        <v>11</v>
      </c>
      <c r="E506" s="8"/>
      <c r="F506" s="4" t="s">
        <v>9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8">
        <v>2203.0</v>
      </c>
      <c r="B507" s="9">
        <v>45964.0</v>
      </c>
      <c r="C507" s="4" t="s">
        <v>547</v>
      </c>
      <c r="D507" s="8" t="s">
        <v>77</v>
      </c>
      <c r="E507" s="8"/>
      <c r="F507" s="4" t="s">
        <v>464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8">
        <v>2204.0</v>
      </c>
      <c r="B508" s="9">
        <v>45964.0</v>
      </c>
      <c r="C508" s="4" t="s">
        <v>548</v>
      </c>
      <c r="D508" s="8" t="s">
        <v>13</v>
      </c>
      <c r="E508" s="8"/>
      <c r="F508" s="4" t="s">
        <v>23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8">
        <v>2205.0</v>
      </c>
      <c r="B509" s="9">
        <v>45964.0</v>
      </c>
      <c r="C509" s="4" t="s">
        <v>549</v>
      </c>
      <c r="D509" s="8" t="s">
        <v>104</v>
      </c>
      <c r="E509" s="8"/>
      <c r="F509" s="4" t="s">
        <v>464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8">
        <v>2206.0</v>
      </c>
      <c r="B510" s="9">
        <v>45964.0</v>
      </c>
      <c r="C510" s="4" t="s">
        <v>550</v>
      </c>
      <c r="D510" s="8" t="s">
        <v>13</v>
      </c>
      <c r="E510" s="8"/>
      <c r="F510" s="4" t="s">
        <v>23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8">
        <v>2207.0</v>
      </c>
      <c r="B511" s="9">
        <v>45964.0</v>
      </c>
      <c r="C511" s="10" t="s">
        <v>551</v>
      </c>
      <c r="D511" s="8" t="s">
        <v>178</v>
      </c>
      <c r="E511" s="8"/>
      <c r="F511" s="4" t="s">
        <v>26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8">
        <v>2208.0</v>
      </c>
      <c r="B512" s="9">
        <v>45964.0</v>
      </c>
      <c r="C512" s="4" t="s">
        <v>552</v>
      </c>
      <c r="D512" s="8" t="s">
        <v>11</v>
      </c>
      <c r="E512" s="8"/>
      <c r="F512" s="4" t="s">
        <v>9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8">
        <v>2209.0</v>
      </c>
      <c r="B513" s="9">
        <v>45964.0</v>
      </c>
      <c r="C513" s="4" t="s">
        <v>553</v>
      </c>
      <c r="D513" s="8" t="s">
        <v>11</v>
      </c>
      <c r="E513" s="8"/>
      <c r="F513" s="4" t="s">
        <v>464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8">
        <v>2210.0</v>
      </c>
      <c r="B514" s="9">
        <v>45964.0</v>
      </c>
      <c r="C514" s="4" t="s">
        <v>554</v>
      </c>
      <c r="D514" s="8" t="s">
        <v>13</v>
      </c>
      <c r="E514" s="8"/>
      <c r="F514" s="4" t="s">
        <v>23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8">
        <v>2211.0</v>
      </c>
      <c r="B515" s="9">
        <v>7350814.0</v>
      </c>
      <c r="C515" s="4" t="s">
        <v>555</v>
      </c>
      <c r="D515" s="8" t="s">
        <v>13</v>
      </c>
      <c r="E515" s="8"/>
      <c r="F515" s="4" t="s">
        <v>464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8">
        <v>2212.0</v>
      </c>
      <c r="B516" s="9">
        <v>45964.0</v>
      </c>
      <c r="C516" s="4" t="s">
        <v>556</v>
      </c>
      <c r="D516" s="8" t="s">
        <v>13</v>
      </c>
      <c r="E516" s="8"/>
      <c r="F516" s="4" t="s">
        <v>23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8">
        <v>2213.0</v>
      </c>
      <c r="B517" s="9">
        <v>45964.0</v>
      </c>
      <c r="C517" s="4" t="s">
        <v>557</v>
      </c>
      <c r="D517" s="8" t="s">
        <v>558</v>
      </c>
      <c r="E517" s="8"/>
      <c r="F517" s="4" t="s">
        <v>464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8">
        <v>2214.0</v>
      </c>
      <c r="B518" s="9">
        <v>45965.0</v>
      </c>
      <c r="C518" s="4" t="s">
        <v>559</v>
      </c>
      <c r="D518" s="8" t="s">
        <v>11</v>
      </c>
      <c r="E518" s="8"/>
      <c r="F518" s="4" t="s">
        <v>9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8">
        <v>2215.0</v>
      </c>
      <c r="B519" s="9">
        <v>45965.0</v>
      </c>
      <c r="C519" s="4" t="s">
        <v>560</v>
      </c>
      <c r="D519" s="8" t="s">
        <v>11</v>
      </c>
      <c r="E519" s="8"/>
      <c r="F519" s="4" t="s">
        <v>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8">
        <v>2216.0</v>
      </c>
      <c r="B520" s="9">
        <v>45965.0</v>
      </c>
      <c r="C520" s="10" t="s">
        <v>561</v>
      </c>
      <c r="D520" s="8" t="s">
        <v>13</v>
      </c>
      <c r="E520" s="8"/>
      <c r="F520" s="4" t="s">
        <v>23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8">
        <v>2217.0</v>
      </c>
      <c r="B521" s="9">
        <v>45965.0</v>
      </c>
      <c r="C521" s="4" t="s">
        <v>562</v>
      </c>
      <c r="D521" s="8" t="s">
        <v>11</v>
      </c>
      <c r="E521" s="8"/>
      <c r="F521" s="4" t="s">
        <v>9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8">
        <v>2218.0</v>
      </c>
      <c r="B522" s="9">
        <v>45965.0</v>
      </c>
      <c r="C522" s="4" t="s">
        <v>563</v>
      </c>
      <c r="D522" s="8" t="s">
        <v>11</v>
      </c>
      <c r="E522" s="8" t="s">
        <v>13</v>
      </c>
      <c r="F522" s="4" t="s">
        <v>9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8">
        <v>2219.0</v>
      </c>
      <c r="B523" s="9">
        <v>45965.0</v>
      </c>
      <c r="C523" s="4" t="s">
        <v>564</v>
      </c>
      <c r="D523" s="8" t="s">
        <v>11</v>
      </c>
      <c r="E523" s="8"/>
      <c r="F523" s="4" t="s">
        <v>9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8">
        <v>2220.0</v>
      </c>
      <c r="B524" s="9">
        <v>45965.0</v>
      </c>
      <c r="C524" s="4" t="s">
        <v>565</v>
      </c>
      <c r="D524" s="8" t="s">
        <v>11</v>
      </c>
      <c r="E524" s="8"/>
      <c r="F524" s="4" t="s">
        <v>9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8">
        <v>2221.0</v>
      </c>
      <c r="B525" s="9">
        <v>45965.0</v>
      </c>
      <c r="C525" s="4" t="s">
        <v>566</v>
      </c>
      <c r="D525" s="8" t="s">
        <v>11</v>
      </c>
      <c r="E525" s="8"/>
      <c r="F525" s="4" t="s">
        <v>464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8">
        <v>2222.0</v>
      </c>
      <c r="B526" s="9">
        <v>45965.0</v>
      </c>
      <c r="C526" s="4" t="s">
        <v>567</v>
      </c>
      <c r="D526" s="8" t="s">
        <v>11</v>
      </c>
      <c r="E526" s="8"/>
      <c r="F526" s="4" t="s">
        <v>9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8">
        <v>2223.0</v>
      </c>
      <c r="B527" s="9">
        <v>45965.0</v>
      </c>
      <c r="C527" s="4" t="s">
        <v>568</v>
      </c>
      <c r="D527" s="8" t="s">
        <v>22</v>
      </c>
      <c r="E527" s="8"/>
      <c r="F527" s="4" t="s">
        <v>464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8">
        <v>2224.0</v>
      </c>
      <c r="B528" s="9">
        <v>45965.0</v>
      </c>
      <c r="C528" s="4" t="s">
        <v>569</v>
      </c>
      <c r="D528" s="8" t="s">
        <v>22</v>
      </c>
      <c r="E528" s="8"/>
      <c r="F528" s="4" t="s">
        <v>464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22">
        <v>2225.0</v>
      </c>
      <c r="B529" s="23"/>
      <c r="C529" s="15" t="s">
        <v>570</v>
      </c>
      <c r="D529" s="22"/>
      <c r="E529" s="22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ht="15.75" customHeight="1">
      <c r="A530" s="8">
        <v>2226.0</v>
      </c>
      <c r="B530" s="9">
        <v>45965.0</v>
      </c>
      <c r="C530" s="4" t="s">
        <v>571</v>
      </c>
      <c r="D530" s="8" t="s">
        <v>294</v>
      </c>
      <c r="E530" s="8"/>
      <c r="F530" s="4" t="s">
        <v>464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8">
        <v>2227.0</v>
      </c>
      <c r="B531" s="9">
        <v>45966.0</v>
      </c>
      <c r="C531" s="4" t="s">
        <v>572</v>
      </c>
      <c r="D531" s="8" t="s">
        <v>22</v>
      </c>
      <c r="E531" s="8"/>
      <c r="F531" s="4" t="s">
        <v>464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8">
        <v>2228.0</v>
      </c>
      <c r="B532" s="9">
        <v>45966.0</v>
      </c>
      <c r="C532" s="4" t="s">
        <v>573</v>
      </c>
      <c r="D532" s="8" t="s">
        <v>451</v>
      </c>
      <c r="E532" s="8"/>
      <c r="F532" s="4" t="s">
        <v>464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8">
        <v>2229.0</v>
      </c>
      <c r="B533" s="9">
        <v>45966.0</v>
      </c>
      <c r="C533" s="4" t="s">
        <v>574</v>
      </c>
      <c r="D533" s="8" t="s">
        <v>13</v>
      </c>
      <c r="E533" s="8"/>
      <c r="F533" s="4" t="s">
        <v>14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8">
        <v>2230.0</v>
      </c>
      <c r="B534" s="9">
        <v>45966.0</v>
      </c>
      <c r="C534" s="4" t="s">
        <v>575</v>
      </c>
      <c r="D534" s="8" t="s">
        <v>77</v>
      </c>
      <c r="E534" s="8"/>
      <c r="F534" s="4" t="s">
        <v>464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8">
        <v>2231.0</v>
      </c>
      <c r="B535" s="9">
        <v>45966.0</v>
      </c>
      <c r="C535" s="4" t="s">
        <v>260</v>
      </c>
      <c r="D535" s="8" t="s">
        <v>13</v>
      </c>
      <c r="E535" s="8"/>
      <c r="F535" s="4" t="s">
        <v>23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8">
        <v>2232.0</v>
      </c>
      <c r="B536" s="9">
        <v>45966.0</v>
      </c>
      <c r="C536" s="4" t="s">
        <v>261</v>
      </c>
      <c r="D536" s="8" t="s">
        <v>13</v>
      </c>
      <c r="E536" s="8"/>
      <c r="F536" s="4" t="s">
        <v>23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8">
        <v>2233.0</v>
      </c>
      <c r="B537" s="9">
        <v>45966.0</v>
      </c>
      <c r="C537" s="4" t="s">
        <v>262</v>
      </c>
      <c r="D537" s="8" t="s">
        <v>13</v>
      </c>
      <c r="E537" s="8"/>
      <c r="F537" s="4" t="s">
        <v>23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8">
        <v>2234.0</v>
      </c>
      <c r="B538" s="9">
        <v>45966.0</v>
      </c>
      <c r="C538" s="4" t="s">
        <v>263</v>
      </c>
      <c r="D538" s="8" t="s">
        <v>13</v>
      </c>
      <c r="E538" s="8"/>
      <c r="F538" s="4" t="s">
        <v>23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8">
        <v>2235.0</v>
      </c>
      <c r="B539" s="9">
        <v>45966.0</v>
      </c>
      <c r="C539" s="4" t="s">
        <v>264</v>
      </c>
      <c r="D539" s="8" t="s">
        <v>13</v>
      </c>
      <c r="E539" s="8"/>
      <c r="F539" s="4" t="s">
        <v>23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8">
        <v>2236.0</v>
      </c>
      <c r="B540" s="9">
        <v>45966.0</v>
      </c>
      <c r="C540" s="4" t="s">
        <v>265</v>
      </c>
      <c r="D540" s="8" t="s">
        <v>13</v>
      </c>
      <c r="E540" s="8"/>
      <c r="F540" s="4" t="s">
        <v>23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8">
        <v>2237.0</v>
      </c>
      <c r="B541" s="9">
        <v>45966.0</v>
      </c>
      <c r="C541" s="4" t="s">
        <v>266</v>
      </c>
      <c r="D541" s="8" t="s">
        <v>13</v>
      </c>
      <c r="E541" s="8"/>
      <c r="F541" s="4" t="s">
        <v>23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8">
        <v>2238.0</v>
      </c>
      <c r="B542" s="9">
        <v>45966.0</v>
      </c>
      <c r="C542" s="4" t="s">
        <v>267</v>
      </c>
      <c r="D542" s="8" t="s">
        <v>13</v>
      </c>
      <c r="E542" s="8"/>
      <c r="F542" s="4" t="s">
        <v>23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8">
        <v>2239.0</v>
      </c>
      <c r="B543" s="9">
        <v>45966.0</v>
      </c>
      <c r="C543" s="4" t="s">
        <v>268</v>
      </c>
      <c r="D543" s="8" t="s">
        <v>13</v>
      </c>
      <c r="E543" s="8"/>
      <c r="F543" s="4" t="s">
        <v>23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8">
        <v>2240.0</v>
      </c>
      <c r="B544" s="9">
        <v>45966.0</v>
      </c>
      <c r="C544" s="4" t="s">
        <v>46</v>
      </c>
      <c r="D544" s="8" t="s">
        <v>13</v>
      </c>
      <c r="E544" s="8"/>
      <c r="F544" s="4" t="s">
        <v>23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8">
        <v>2241.0</v>
      </c>
      <c r="B545" s="9">
        <v>45966.0</v>
      </c>
      <c r="C545" s="4" t="s">
        <v>269</v>
      </c>
      <c r="D545" s="8" t="s">
        <v>13</v>
      </c>
      <c r="E545" s="8"/>
      <c r="F545" s="4" t="s">
        <v>23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8">
        <v>2242.0</v>
      </c>
      <c r="B546" s="9">
        <v>45966.0</v>
      </c>
      <c r="C546" s="4" t="s">
        <v>270</v>
      </c>
      <c r="D546" s="8" t="s">
        <v>13</v>
      </c>
      <c r="E546" s="8"/>
      <c r="F546" s="4" t="s">
        <v>23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8">
        <v>2243.0</v>
      </c>
      <c r="B547" s="9">
        <v>45966.0</v>
      </c>
      <c r="C547" s="4" t="s">
        <v>271</v>
      </c>
      <c r="D547" s="8" t="s">
        <v>13</v>
      </c>
      <c r="E547" s="8"/>
      <c r="F547" s="4" t="s">
        <v>23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8">
        <v>2244.0</v>
      </c>
      <c r="B548" s="9">
        <v>45966.0</v>
      </c>
      <c r="C548" s="4" t="s">
        <v>272</v>
      </c>
      <c r="D548" s="8" t="s">
        <v>13</v>
      </c>
      <c r="E548" s="8"/>
      <c r="F548" s="4" t="s">
        <v>23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8">
        <v>2245.0</v>
      </c>
      <c r="B549" s="9">
        <v>45966.0</v>
      </c>
      <c r="C549" s="4" t="s">
        <v>576</v>
      </c>
      <c r="D549" s="8" t="s">
        <v>558</v>
      </c>
      <c r="E549" s="8"/>
      <c r="F549" s="4" t="s">
        <v>464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8">
        <v>2246.0</v>
      </c>
      <c r="B550" s="9">
        <v>45966.0</v>
      </c>
      <c r="C550" s="4" t="s">
        <v>577</v>
      </c>
      <c r="D550" s="8" t="s">
        <v>578</v>
      </c>
      <c r="E550" s="8"/>
      <c r="F550" s="4" t="s">
        <v>9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8">
        <v>2247.0</v>
      </c>
      <c r="B551" s="9">
        <v>45966.0</v>
      </c>
      <c r="C551" s="4" t="s">
        <v>579</v>
      </c>
      <c r="D551" s="8" t="s">
        <v>578</v>
      </c>
      <c r="E551" s="8"/>
      <c r="F551" s="4" t="s">
        <v>9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8">
        <v>2248.0</v>
      </c>
      <c r="B552" s="9">
        <v>45966.0</v>
      </c>
      <c r="C552" s="4" t="s">
        <v>580</v>
      </c>
      <c r="D552" s="8" t="s">
        <v>13</v>
      </c>
      <c r="E552" s="8"/>
      <c r="F552" s="4" t="s">
        <v>137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8">
        <v>2249.0</v>
      </c>
      <c r="B553" s="9">
        <v>45966.0</v>
      </c>
      <c r="C553" s="4" t="s">
        <v>581</v>
      </c>
      <c r="D553" s="8" t="s">
        <v>13</v>
      </c>
      <c r="E553" s="8"/>
      <c r="F553" s="4" t="s">
        <v>137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8">
        <v>2250.0</v>
      </c>
      <c r="B554" s="9">
        <v>45966.0</v>
      </c>
      <c r="C554" s="4" t="s">
        <v>582</v>
      </c>
      <c r="D554" s="8" t="s">
        <v>13</v>
      </c>
      <c r="E554" s="8"/>
      <c r="F554" s="4" t="s">
        <v>494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8">
        <v>2251.0</v>
      </c>
      <c r="B555" s="9">
        <v>45967.0</v>
      </c>
      <c r="C555" s="10" t="s">
        <v>583</v>
      </c>
      <c r="D555" s="8" t="s">
        <v>275</v>
      </c>
      <c r="E555" s="8"/>
      <c r="F555" s="4" t="s">
        <v>26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8">
        <v>2252.0</v>
      </c>
      <c r="B556" s="24"/>
      <c r="C556" s="24"/>
      <c r="D556" s="24"/>
      <c r="E556" s="24"/>
      <c r="F556" s="2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8">
        <v>2253.0</v>
      </c>
      <c r="B557" s="9">
        <v>45967.0</v>
      </c>
      <c r="C557" s="4" t="s">
        <v>584</v>
      </c>
      <c r="D557" s="8" t="s">
        <v>525</v>
      </c>
      <c r="E557" s="8"/>
      <c r="F557" s="4" t="s">
        <v>14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8">
        <v>2254.0</v>
      </c>
      <c r="B558" s="9">
        <v>45967.0</v>
      </c>
      <c r="C558" s="4" t="s">
        <v>585</v>
      </c>
      <c r="D558" s="8" t="s">
        <v>104</v>
      </c>
      <c r="E558" s="8" t="s">
        <v>11</v>
      </c>
      <c r="F558" s="4" t="s">
        <v>9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8">
        <v>2255.0</v>
      </c>
      <c r="B559" s="9">
        <v>45967.0</v>
      </c>
      <c r="C559" s="4" t="s">
        <v>586</v>
      </c>
      <c r="D559" s="8" t="s">
        <v>104</v>
      </c>
      <c r="E559" s="8" t="s">
        <v>11</v>
      </c>
      <c r="F559" s="4" t="s">
        <v>9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8">
        <v>2256.0</v>
      </c>
      <c r="B560" s="9">
        <v>45967.0</v>
      </c>
      <c r="C560" s="4" t="s">
        <v>587</v>
      </c>
      <c r="D560" s="8" t="s">
        <v>136</v>
      </c>
      <c r="E560" s="8"/>
      <c r="F560" s="4" t="s">
        <v>9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8">
        <v>2257.0</v>
      </c>
      <c r="B561" s="9">
        <v>45967.0</v>
      </c>
      <c r="C561" s="4" t="s">
        <v>588</v>
      </c>
      <c r="D561" s="8" t="s">
        <v>525</v>
      </c>
      <c r="E561" s="8"/>
      <c r="F561" s="4" t="s">
        <v>14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8">
        <v>2258.0</v>
      </c>
      <c r="B562" s="9">
        <v>45967.0</v>
      </c>
      <c r="C562" s="4" t="s">
        <v>589</v>
      </c>
      <c r="D562" s="8" t="s">
        <v>11</v>
      </c>
      <c r="E562" s="8"/>
      <c r="F562" s="4" t="s">
        <v>9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8">
        <v>2259.0</v>
      </c>
      <c r="B563" s="9">
        <v>45968.0</v>
      </c>
      <c r="C563" s="4" t="s">
        <v>590</v>
      </c>
      <c r="D563" s="8" t="s">
        <v>136</v>
      </c>
      <c r="E563" s="8"/>
      <c r="F563" s="4" t="s">
        <v>464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8">
        <v>2260.0</v>
      </c>
      <c r="B564" s="9">
        <v>45968.0</v>
      </c>
      <c r="C564" s="4" t="s">
        <v>591</v>
      </c>
      <c r="D564" s="8" t="s">
        <v>525</v>
      </c>
      <c r="E564" s="8" t="s">
        <v>29</v>
      </c>
      <c r="F564" s="4" t="s">
        <v>23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8">
        <v>2261.0</v>
      </c>
      <c r="B565" s="9">
        <v>45964.0</v>
      </c>
      <c r="C565" s="4" t="s">
        <v>592</v>
      </c>
      <c r="D565" s="8" t="s">
        <v>22</v>
      </c>
      <c r="E565" s="8"/>
      <c r="F565" s="4" t="s">
        <v>464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8">
        <v>2262.0</v>
      </c>
      <c r="B566" s="9">
        <v>45964.0</v>
      </c>
      <c r="C566" s="4" t="s">
        <v>592</v>
      </c>
      <c r="D566" s="8" t="s">
        <v>22</v>
      </c>
      <c r="E566" s="8"/>
      <c r="F566" s="4" t="s">
        <v>464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8">
        <v>2263.0</v>
      </c>
      <c r="B567" s="9">
        <v>45968.0</v>
      </c>
      <c r="C567" s="4" t="s">
        <v>593</v>
      </c>
      <c r="D567" s="8" t="s">
        <v>525</v>
      </c>
      <c r="E567" s="8" t="s">
        <v>29</v>
      </c>
      <c r="F567" s="4" t="s">
        <v>23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8">
        <v>2264.0</v>
      </c>
      <c r="B568" s="9">
        <v>45968.0</v>
      </c>
      <c r="C568" s="4" t="s">
        <v>594</v>
      </c>
      <c r="D568" s="8" t="s">
        <v>104</v>
      </c>
      <c r="E568" s="8" t="s">
        <v>595</v>
      </c>
      <c r="F568" s="4" t="s">
        <v>14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8">
        <v>2265.0</v>
      </c>
      <c r="B569" s="9">
        <v>45968.0</v>
      </c>
      <c r="C569" s="4" t="s">
        <v>596</v>
      </c>
      <c r="D569" s="8"/>
      <c r="E569" s="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8">
        <v>2266.0</v>
      </c>
      <c r="B570" s="9">
        <v>45971.0</v>
      </c>
      <c r="C570" s="4" t="s">
        <v>597</v>
      </c>
      <c r="D570" s="8" t="s">
        <v>11</v>
      </c>
      <c r="E570" s="8"/>
      <c r="F570" s="4" t="s">
        <v>9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8">
        <v>2267.0</v>
      </c>
      <c r="B571" s="9">
        <v>45971.0</v>
      </c>
      <c r="C571" s="4" t="s">
        <v>598</v>
      </c>
      <c r="D571" s="8" t="s">
        <v>22</v>
      </c>
      <c r="E571" s="8"/>
      <c r="F571" s="4" t="s">
        <v>464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8">
        <v>2268.0</v>
      </c>
      <c r="B572" s="9">
        <v>45971.0</v>
      </c>
      <c r="C572" s="4" t="s">
        <v>599</v>
      </c>
      <c r="D572" s="8" t="s">
        <v>22</v>
      </c>
      <c r="E572" s="8"/>
      <c r="F572" s="4" t="s">
        <v>464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8">
        <v>2269.0</v>
      </c>
      <c r="B573" s="9">
        <v>45971.0</v>
      </c>
      <c r="C573" s="4" t="s">
        <v>600</v>
      </c>
      <c r="D573" s="8" t="s">
        <v>13</v>
      </c>
      <c r="E573" s="8"/>
      <c r="F573" s="4" t="s">
        <v>464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8">
        <v>2270.0</v>
      </c>
      <c r="B574" s="9">
        <v>45971.0</v>
      </c>
      <c r="C574" s="4" t="s">
        <v>601</v>
      </c>
      <c r="D574" s="8" t="s">
        <v>13</v>
      </c>
      <c r="E574" s="8"/>
      <c r="F574" s="4" t="s">
        <v>464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8">
        <v>2271.0</v>
      </c>
      <c r="B575" s="9">
        <v>45971.0</v>
      </c>
      <c r="C575" s="4" t="s">
        <v>602</v>
      </c>
      <c r="D575" s="8" t="s">
        <v>13</v>
      </c>
      <c r="E575" s="8"/>
      <c r="F575" s="4" t="s">
        <v>464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8">
        <v>2272.0</v>
      </c>
      <c r="B576" s="4" t="s">
        <v>603</v>
      </c>
      <c r="C576" s="4" t="s">
        <v>604</v>
      </c>
      <c r="D576" s="8" t="s">
        <v>605</v>
      </c>
      <c r="E576" s="8"/>
      <c r="F576" s="4" t="s">
        <v>18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8">
        <v>2273.0</v>
      </c>
      <c r="B577" s="9">
        <v>45971.0</v>
      </c>
      <c r="C577" s="4" t="s">
        <v>606</v>
      </c>
      <c r="D577" s="8" t="s">
        <v>17</v>
      </c>
      <c r="E577" s="8" t="s">
        <v>29</v>
      </c>
      <c r="F577" s="4" t="s">
        <v>23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8">
        <v>2274.0</v>
      </c>
      <c r="B578" s="9">
        <v>45971.0</v>
      </c>
      <c r="C578" s="4" t="s">
        <v>607</v>
      </c>
      <c r="D578" s="8" t="s">
        <v>608</v>
      </c>
      <c r="E578" s="8"/>
      <c r="F578" s="4" t="s">
        <v>464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8">
        <v>2275.0</v>
      </c>
      <c r="B579" s="9">
        <v>45971.0</v>
      </c>
      <c r="C579" s="4" t="s">
        <v>609</v>
      </c>
      <c r="D579" s="8" t="s">
        <v>525</v>
      </c>
      <c r="E579" s="8" t="s">
        <v>29</v>
      </c>
      <c r="F579" s="4" t="s">
        <v>23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8">
        <v>2276.0</v>
      </c>
      <c r="B580" s="9">
        <v>45971.0</v>
      </c>
      <c r="C580" s="4" t="s">
        <v>610</v>
      </c>
      <c r="D580" s="8" t="s">
        <v>11</v>
      </c>
      <c r="E580" s="8"/>
      <c r="F580" s="4" t="s">
        <v>9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8">
        <v>2277.0</v>
      </c>
      <c r="B581" s="9">
        <v>45971.0</v>
      </c>
      <c r="C581" s="4" t="s">
        <v>611</v>
      </c>
      <c r="D581" s="8" t="s">
        <v>77</v>
      </c>
      <c r="E581" s="8"/>
      <c r="F581" s="4" t="s">
        <v>464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8">
        <v>2278.0</v>
      </c>
      <c r="B582" s="9">
        <v>45971.0</v>
      </c>
      <c r="C582" s="4" t="s">
        <v>610</v>
      </c>
      <c r="D582" s="8" t="s">
        <v>11</v>
      </c>
      <c r="E582" s="8"/>
      <c r="F582" s="4" t="s">
        <v>9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8">
        <v>2279.0</v>
      </c>
      <c r="B583" s="9">
        <v>45971.0</v>
      </c>
      <c r="C583" s="4" t="s">
        <v>612</v>
      </c>
      <c r="D583" s="8" t="s">
        <v>168</v>
      </c>
      <c r="E583" s="8"/>
      <c r="F583" s="4" t="s">
        <v>464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8">
        <v>2280.0</v>
      </c>
      <c r="B584" s="9">
        <v>45668.0</v>
      </c>
      <c r="C584" s="4" t="s">
        <v>613</v>
      </c>
      <c r="D584" s="8" t="s">
        <v>11</v>
      </c>
      <c r="E584" s="8"/>
      <c r="F584" s="4" t="s">
        <v>9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8">
        <v>2281.0</v>
      </c>
      <c r="B585" s="9">
        <v>45668.0</v>
      </c>
      <c r="C585" s="4" t="s">
        <v>614</v>
      </c>
      <c r="D585" s="8" t="s">
        <v>77</v>
      </c>
      <c r="E585" s="8"/>
      <c r="F585" s="4" t="s">
        <v>9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8">
        <v>2282.0</v>
      </c>
      <c r="B586" s="9">
        <v>45668.0</v>
      </c>
      <c r="C586" s="4" t="s">
        <v>615</v>
      </c>
      <c r="D586" s="8" t="s">
        <v>11</v>
      </c>
      <c r="E586" s="8"/>
      <c r="F586" s="4" t="s">
        <v>9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8">
        <v>2283.0</v>
      </c>
      <c r="B587" s="9">
        <v>45972.0</v>
      </c>
      <c r="C587" s="4" t="s">
        <v>616</v>
      </c>
      <c r="D587" s="8" t="s">
        <v>13</v>
      </c>
      <c r="E587" s="8"/>
      <c r="F587" s="4" t="s">
        <v>23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8">
        <v>2284.0</v>
      </c>
      <c r="B588" s="9">
        <v>45972.0</v>
      </c>
      <c r="C588" s="4" t="s">
        <v>617</v>
      </c>
      <c r="D588" s="8" t="s">
        <v>11</v>
      </c>
      <c r="E588" s="8"/>
      <c r="F588" s="4" t="s">
        <v>147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8">
        <v>2285.0</v>
      </c>
      <c r="B589" s="9">
        <v>45972.0</v>
      </c>
      <c r="C589" s="4" t="s">
        <v>618</v>
      </c>
      <c r="D589" s="8" t="s">
        <v>11</v>
      </c>
      <c r="E589" s="8"/>
      <c r="F589" s="4" t="s">
        <v>74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8">
        <v>2286.0</v>
      </c>
      <c r="B590" s="9">
        <v>45972.0</v>
      </c>
      <c r="C590" s="4" t="s">
        <v>619</v>
      </c>
      <c r="D590" s="8" t="s">
        <v>11</v>
      </c>
      <c r="E590" s="8"/>
      <c r="F590" s="4" t="s">
        <v>9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8">
        <v>2287.0</v>
      </c>
      <c r="B591" s="9">
        <v>45972.0</v>
      </c>
      <c r="C591" s="4" t="s">
        <v>620</v>
      </c>
      <c r="D591" s="8" t="s">
        <v>11</v>
      </c>
      <c r="E591" s="8"/>
      <c r="F591" s="4" t="s">
        <v>9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8">
        <v>2288.0</v>
      </c>
      <c r="B592" s="9">
        <v>45972.0</v>
      </c>
      <c r="C592" s="4" t="s">
        <v>621</v>
      </c>
      <c r="D592" s="8" t="s">
        <v>605</v>
      </c>
      <c r="E592" s="8"/>
      <c r="F592" s="4" t="s">
        <v>23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8">
        <v>2289.0</v>
      </c>
      <c r="B593" s="9">
        <v>45972.0</v>
      </c>
      <c r="C593" s="4" t="s">
        <v>622</v>
      </c>
      <c r="D593" s="8" t="s">
        <v>13</v>
      </c>
      <c r="E593" s="8"/>
      <c r="F593" s="4" t="s">
        <v>464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8">
        <v>2290.0</v>
      </c>
      <c r="B594" s="9">
        <v>45972.0</v>
      </c>
      <c r="C594" s="4" t="s">
        <v>623</v>
      </c>
      <c r="D594" s="8" t="s">
        <v>13</v>
      </c>
      <c r="E594" s="8"/>
      <c r="F594" s="4" t="s">
        <v>464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8">
        <v>2291.0</v>
      </c>
      <c r="B595" s="9">
        <v>45972.0</v>
      </c>
      <c r="C595" s="4" t="s">
        <v>624</v>
      </c>
      <c r="D595" s="8" t="s">
        <v>13</v>
      </c>
      <c r="E595" s="8"/>
      <c r="F595" s="4" t="s">
        <v>464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8">
        <v>2292.0</v>
      </c>
      <c r="B596" s="9">
        <v>45973.0</v>
      </c>
      <c r="C596" s="4" t="s">
        <v>625</v>
      </c>
      <c r="D596" s="8" t="s">
        <v>90</v>
      </c>
      <c r="E596" s="8"/>
      <c r="F596" s="4" t="s">
        <v>464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8">
        <v>2293.0</v>
      </c>
      <c r="B597" s="9">
        <v>45973.0</v>
      </c>
      <c r="C597" s="4" t="s">
        <v>626</v>
      </c>
      <c r="D597" s="8" t="s">
        <v>22</v>
      </c>
      <c r="E597" s="8"/>
      <c r="F597" s="4" t="s">
        <v>464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8">
        <v>2294.0</v>
      </c>
      <c r="B598" s="9">
        <v>45973.0</v>
      </c>
      <c r="C598" s="4" t="s">
        <v>627</v>
      </c>
      <c r="D598" s="8" t="s">
        <v>13</v>
      </c>
      <c r="E598" s="8"/>
      <c r="F598" s="4" t="s">
        <v>464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8">
        <v>2295.0</v>
      </c>
      <c r="B599" s="9">
        <v>45973.0</v>
      </c>
      <c r="C599" s="4" t="s">
        <v>628</v>
      </c>
      <c r="D599" s="8" t="s">
        <v>11</v>
      </c>
      <c r="E599" s="8"/>
      <c r="F599" s="4" t="s">
        <v>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8">
        <v>2296.0</v>
      </c>
      <c r="B600" s="9">
        <v>45973.0</v>
      </c>
      <c r="C600" s="4" t="s">
        <v>629</v>
      </c>
      <c r="D600" s="8" t="s">
        <v>11</v>
      </c>
      <c r="E600" s="8"/>
      <c r="F600" s="4" t="s">
        <v>9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8">
        <v>2297.0</v>
      </c>
      <c r="B601" s="9">
        <v>45973.0</v>
      </c>
      <c r="C601" s="4" t="s">
        <v>630</v>
      </c>
      <c r="D601" s="8" t="s">
        <v>20</v>
      </c>
      <c r="E601" s="8"/>
      <c r="F601" s="4" t="s">
        <v>35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8">
        <v>2298.0</v>
      </c>
      <c r="B602" s="9">
        <v>45973.0</v>
      </c>
      <c r="C602" s="4" t="s">
        <v>631</v>
      </c>
      <c r="D602" s="8" t="s">
        <v>525</v>
      </c>
      <c r="E602" s="8" t="s">
        <v>29</v>
      </c>
      <c r="F602" s="4" t="s">
        <v>23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8">
        <v>2299.0</v>
      </c>
      <c r="B603" s="9">
        <v>45973.0</v>
      </c>
      <c r="C603" s="4" t="s">
        <v>632</v>
      </c>
      <c r="D603" s="8" t="s">
        <v>13</v>
      </c>
      <c r="E603" s="8"/>
      <c r="F603" s="4" t="s">
        <v>23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8">
        <v>2300.0</v>
      </c>
      <c r="B604" s="9">
        <v>45973.0</v>
      </c>
      <c r="C604" s="4" t="s">
        <v>633</v>
      </c>
      <c r="D604" s="8" t="s">
        <v>13</v>
      </c>
      <c r="E604" s="8"/>
      <c r="F604" s="4" t="s">
        <v>23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8">
        <v>2301.0</v>
      </c>
      <c r="B605" s="9">
        <v>45973.0</v>
      </c>
      <c r="C605" s="4" t="s">
        <v>634</v>
      </c>
      <c r="D605" s="8" t="s">
        <v>13</v>
      </c>
      <c r="E605" s="8"/>
      <c r="F605" s="4" t="s">
        <v>23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8">
        <v>2302.0</v>
      </c>
      <c r="B606" s="9">
        <v>45973.0</v>
      </c>
      <c r="C606" s="4" t="s">
        <v>635</v>
      </c>
      <c r="D606" s="8" t="s">
        <v>29</v>
      </c>
      <c r="E606" s="8" t="s">
        <v>525</v>
      </c>
      <c r="F606" s="4" t="s">
        <v>9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8">
        <v>2303.0</v>
      </c>
      <c r="B607" s="9">
        <v>45973.0</v>
      </c>
      <c r="C607" s="4" t="s">
        <v>636</v>
      </c>
      <c r="D607" s="8" t="s">
        <v>11</v>
      </c>
      <c r="E607" s="8"/>
      <c r="F607" s="4" t="s">
        <v>9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8">
        <v>2304.0</v>
      </c>
      <c r="B608" s="9">
        <v>45973.0</v>
      </c>
      <c r="C608" s="4" t="s">
        <v>637</v>
      </c>
      <c r="D608" s="8" t="s">
        <v>77</v>
      </c>
      <c r="E608" s="8"/>
      <c r="F608" s="4" t="s">
        <v>464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8">
        <v>2305.0</v>
      </c>
      <c r="B609" s="9">
        <v>45973.0</v>
      </c>
      <c r="C609" s="4" t="s">
        <v>638</v>
      </c>
      <c r="D609" s="8" t="s">
        <v>11</v>
      </c>
      <c r="E609" s="8"/>
      <c r="F609" s="4" t="s">
        <v>9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8">
        <v>2306.0</v>
      </c>
      <c r="B610" s="9">
        <v>45973.0</v>
      </c>
      <c r="C610" s="4" t="s">
        <v>639</v>
      </c>
      <c r="D610" s="8" t="s">
        <v>77</v>
      </c>
      <c r="E610" s="8"/>
      <c r="F610" s="4" t="s">
        <v>464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8">
        <v>2307.0</v>
      </c>
      <c r="B611" s="9">
        <v>45973.0</v>
      </c>
      <c r="C611" s="25" t="s">
        <v>640</v>
      </c>
      <c r="D611" s="8" t="s">
        <v>13</v>
      </c>
      <c r="E611" s="8"/>
      <c r="F611" s="4" t="s">
        <v>464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8">
        <v>2308.0</v>
      </c>
      <c r="B612" s="9">
        <v>45973.0</v>
      </c>
      <c r="C612" s="4" t="s">
        <v>641</v>
      </c>
      <c r="D612" s="8" t="s">
        <v>22</v>
      </c>
      <c r="E612" s="8"/>
      <c r="F612" s="4" t="s">
        <v>464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8">
        <v>2309.0</v>
      </c>
      <c r="B613" s="9">
        <v>45973.0</v>
      </c>
      <c r="C613" s="4" t="s">
        <v>642</v>
      </c>
      <c r="D613" s="8" t="s">
        <v>22</v>
      </c>
      <c r="E613" s="8"/>
      <c r="F613" s="4" t="s">
        <v>464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8">
        <v>2310.0</v>
      </c>
      <c r="B614" s="26">
        <v>45974.0</v>
      </c>
      <c r="C614" s="25" t="s">
        <v>643</v>
      </c>
      <c r="D614" s="27" t="s">
        <v>11</v>
      </c>
      <c r="E614" s="8"/>
      <c r="F614" s="25" t="s">
        <v>9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8">
        <v>2311.0</v>
      </c>
      <c r="B615" s="26">
        <v>45974.0</v>
      </c>
      <c r="C615" s="25" t="s">
        <v>644</v>
      </c>
      <c r="D615" s="27" t="s">
        <v>77</v>
      </c>
      <c r="E615" s="8"/>
      <c r="F615" s="25" t="s">
        <v>464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8">
        <v>2312.0</v>
      </c>
      <c r="B616" s="26">
        <v>45974.0</v>
      </c>
      <c r="C616" s="25" t="s">
        <v>645</v>
      </c>
      <c r="D616" s="27" t="s">
        <v>558</v>
      </c>
      <c r="E616" s="8"/>
      <c r="F616" s="25" t="s">
        <v>464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8">
        <v>2313.0</v>
      </c>
      <c r="B617" s="26">
        <v>45974.0</v>
      </c>
      <c r="C617" s="25" t="s">
        <v>646</v>
      </c>
      <c r="D617" s="27" t="s">
        <v>22</v>
      </c>
      <c r="E617" s="8"/>
      <c r="F617" s="25" t="s">
        <v>464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8">
        <v>2314.0</v>
      </c>
      <c r="B618" s="26">
        <v>45974.0</v>
      </c>
      <c r="C618" s="25" t="s">
        <v>647</v>
      </c>
      <c r="D618" s="27" t="s">
        <v>77</v>
      </c>
      <c r="E618" s="8"/>
      <c r="F618" s="25" t="s">
        <v>464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8">
        <v>2315.0</v>
      </c>
      <c r="B619" s="26">
        <v>45974.0</v>
      </c>
      <c r="C619" s="25" t="s">
        <v>648</v>
      </c>
      <c r="D619" s="27" t="s">
        <v>168</v>
      </c>
      <c r="E619" s="8"/>
      <c r="F619" s="25" t="s">
        <v>9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8">
        <v>2316.0</v>
      </c>
      <c r="B620" s="26">
        <v>45974.0</v>
      </c>
      <c r="C620" s="25" t="s">
        <v>649</v>
      </c>
      <c r="D620" s="27" t="s">
        <v>90</v>
      </c>
      <c r="E620" s="8"/>
      <c r="F620" s="25" t="s">
        <v>464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8">
        <v>2317.0</v>
      </c>
      <c r="B621" s="26">
        <v>45974.0</v>
      </c>
      <c r="C621" s="25" t="s">
        <v>650</v>
      </c>
      <c r="D621" s="27" t="s">
        <v>77</v>
      </c>
      <c r="E621" s="8"/>
      <c r="F621" s="25" t="s">
        <v>464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8">
        <v>2318.0</v>
      </c>
      <c r="B622" s="26">
        <v>45974.0</v>
      </c>
      <c r="C622" s="25" t="s">
        <v>651</v>
      </c>
      <c r="D622" s="27" t="s">
        <v>22</v>
      </c>
      <c r="E622" s="8"/>
      <c r="F622" s="25" t="s">
        <v>9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8">
        <v>2319.0</v>
      </c>
      <c r="B623" s="26">
        <v>45974.0</v>
      </c>
      <c r="C623" s="25" t="s">
        <v>652</v>
      </c>
      <c r="D623" s="27" t="s">
        <v>22</v>
      </c>
      <c r="E623" s="8"/>
      <c r="F623" s="25" t="s">
        <v>9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8">
        <v>2320.0</v>
      </c>
      <c r="B624" s="26">
        <v>45974.0</v>
      </c>
      <c r="C624" s="25" t="s">
        <v>653</v>
      </c>
      <c r="D624" s="27" t="s">
        <v>22</v>
      </c>
      <c r="E624" s="8"/>
      <c r="F624" s="25" t="s">
        <v>23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8">
        <v>2321.0</v>
      </c>
      <c r="B625" s="26">
        <v>45974.0</v>
      </c>
      <c r="C625" s="25" t="s">
        <v>654</v>
      </c>
      <c r="D625" s="27" t="s">
        <v>22</v>
      </c>
      <c r="E625" s="8"/>
      <c r="F625" s="25" t="s">
        <v>9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8">
        <v>2322.0</v>
      </c>
      <c r="B626" s="26">
        <v>45974.0</v>
      </c>
      <c r="C626" s="25" t="s">
        <v>655</v>
      </c>
      <c r="D626" s="27" t="s">
        <v>22</v>
      </c>
      <c r="E626" s="8"/>
      <c r="F626" s="25" t="s">
        <v>9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8">
        <v>2323.0</v>
      </c>
      <c r="B627" s="9"/>
      <c r="C627" s="4"/>
      <c r="D627" s="8"/>
      <c r="E627" s="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8">
        <v>2324.0</v>
      </c>
      <c r="B628" s="9"/>
      <c r="C628" s="4"/>
      <c r="D628" s="8"/>
      <c r="E628" s="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8">
        <v>2325.0</v>
      </c>
      <c r="B629" s="9"/>
      <c r="C629" s="4"/>
      <c r="D629" s="8"/>
      <c r="E629" s="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8">
        <v>2326.0</v>
      </c>
      <c r="B630" s="9"/>
      <c r="C630" s="4"/>
      <c r="D630" s="8"/>
      <c r="E630" s="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8">
        <v>2327.0</v>
      </c>
      <c r="B631" s="9"/>
      <c r="C631" s="4"/>
      <c r="D631" s="8"/>
      <c r="E631" s="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8">
        <v>2328.0</v>
      </c>
      <c r="B632" s="9"/>
      <c r="C632" s="4"/>
      <c r="D632" s="8"/>
      <c r="E632" s="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8">
        <v>2329.0</v>
      </c>
      <c r="B633" s="9"/>
      <c r="C633" s="4"/>
      <c r="D633" s="8"/>
      <c r="E633" s="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8">
        <v>2330.0</v>
      </c>
      <c r="B634" s="9"/>
      <c r="C634" s="4"/>
      <c r="D634" s="8"/>
      <c r="E634" s="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8">
        <v>2331.0</v>
      </c>
      <c r="B635" s="9"/>
      <c r="C635" s="4"/>
      <c r="D635" s="8"/>
      <c r="E635" s="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8">
        <v>2332.0</v>
      </c>
      <c r="B636" s="9"/>
      <c r="C636" s="4"/>
      <c r="D636" s="8"/>
      <c r="E636" s="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8">
        <v>2333.0</v>
      </c>
      <c r="B637" s="9"/>
      <c r="C637" s="4"/>
      <c r="D637" s="8"/>
      <c r="E637" s="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8">
        <v>2334.0</v>
      </c>
      <c r="B638" s="9"/>
      <c r="C638" s="4"/>
      <c r="D638" s="8"/>
      <c r="E638" s="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8">
        <v>2335.0</v>
      </c>
      <c r="B639" s="9"/>
      <c r="C639" s="4"/>
      <c r="D639" s="8"/>
      <c r="E639" s="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8">
        <v>2336.0</v>
      </c>
      <c r="B640" s="9"/>
      <c r="C640" s="4"/>
      <c r="D640" s="8"/>
      <c r="E640" s="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8">
        <v>2337.0</v>
      </c>
      <c r="B641" s="9"/>
      <c r="C641" s="4"/>
      <c r="D641" s="8"/>
      <c r="E641" s="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8">
        <v>2338.0</v>
      </c>
      <c r="B642" s="9"/>
      <c r="C642" s="4"/>
      <c r="D642" s="8"/>
      <c r="E642" s="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8">
        <v>2339.0</v>
      </c>
      <c r="B643" s="9"/>
      <c r="C643" s="4"/>
      <c r="D643" s="8"/>
      <c r="E643" s="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8">
        <v>2340.0</v>
      </c>
      <c r="B644" s="9"/>
      <c r="C644" s="4"/>
      <c r="D644" s="8"/>
      <c r="E644" s="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8">
        <v>2341.0</v>
      </c>
      <c r="B645" s="9"/>
      <c r="C645" s="4"/>
      <c r="D645" s="8"/>
      <c r="E645" s="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8">
        <v>2342.0</v>
      </c>
      <c r="B646" s="9"/>
      <c r="C646" s="4"/>
      <c r="D646" s="8"/>
      <c r="E646" s="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8">
        <v>2343.0</v>
      </c>
      <c r="B647" s="9"/>
      <c r="C647" s="4"/>
      <c r="D647" s="8"/>
      <c r="E647" s="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8">
        <v>2344.0</v>
      </c>
      <c r="B648" s="9"/>
      <c r="C648" s="4"/>
      <c r="D648" s="8"/>
      <c r="E648" s="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8">
        <v>2345.0</v>
      </c>
      <c r="B649" s="9"/>
      <c r="C649" s="4"/>
      <c r="D649" s="8"/>
      <c r="E649" s="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8">
        <v>2346.0</v>
      </c>
      <c r="B650" s="9"/>
      <c r="C650" s="4"/>
      <c r="D650" s="8"/>
      <c r="E650" s="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8">
        <v>2347.0</v>
      </c>
      <c r="B651" s="9"/>
      <c r="C651" s="4"/>
      <c r="D651" s="8"/>
      <c r="E651" s="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8">
        <v>2348.0</v>
      </c>
      <c r="B652" s="9"/>
      <c r="C652" s="4"/>
      <c r="D652" s="8"/>
      <c r="E652" s="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8">
        <v>2349.0</v>
      </c>
      <c r="B653" s="9"/>
      <c r="C653" s="4"/>
      <c r="D653" s="8"/>
      <c r="E653" s="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8">
        <v>2350.0</v>
      </c>
      <c r="B654" s="9"/>
      <c r="C654" s="4"/>
      <c r="D654" s="8"/>
      <c r="E654" s="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8">
        <v>2351.0</v>
      </c>
      <c r="B655" s="9"/>
      <c r="C655" s="4"/>
      <c r="D655" s="8"/>
      <c r="E655" s="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8">
        <v>2352.0</v>
      </c>
      <c r="B656" s="9"/>
      <c r="C656" s="4"/>
      <c r="D656" s="8"/>
      <c r="E656" s="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8">
        <v>2353.0</v>
      </c>
      <c r="B657" s="9"/>
      <c r="C657" s="4"/>
      <c r="D657" s="8"/>
      <c r="E657" s="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8">
        <v>2354.0</v>
      </c>
      <c r="B658" s="9"/>
      <c r="C658" s="4"/>
      <c r="D658" s="8"/>
      <c r="E658" s="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8">
        <v>2355.0</v>
      </c>
      <c r="B659" s="9"/>
      <c r="C659" s="4"/>
      <c r="D659" s="8"/>
      <c r="E659" s="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8">
        <v>2356.0</v>
      </c>
      <c r="B660" s="9"/>
      <c r="C660" s="4"/>
      <c r="D660" s="8"/>
      <c r="E660" s="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8">
        <v>2357.0</v>
      </c>
      <c r="B661" s="9"/>
      <c r="C661" s="4"/>
      <c r="D661" s="8"/>
      <c r="E661" s="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8">
        <v>2358.0</v>
      </c>
      <c r="B662" s="9"/>
      <c r="C662" s="4"/>
      <c r="D662" s="8"/>
      <c r="E662" s="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8">
        <v>2359.0</v>
      </c>
      <c r="B663" s="9"/>
      <c r="C663" s="4"/>
      <c r="D663" s="8"/>
      <c r="E663" s="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8">
        <v>2360.0</v>
      </c>
      <c r="B664" s="9"/>
      <c r="C664" s="4"/>
      <c r="D664" s="8"/>
      <c r="E664" s="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8">
        <v>2361.0</v>
      </c>
      <c r="B665" s="9"/>
      <c r="C665" s="4"/>
      <c r="D665" s="8"/>
      <c r="E665" s="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8">
        <v>2362.0</v>
      </c>
      <c r="B666" s="9"/>
      <c r="C666" s="4"/>
      <c r="D666" s="8"/>
      <c r="E666" s="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8">
        <v>2363.0</v>
      </c>
      <c r="B667" s="9"/>
      <c r="C667" s="4"/>
      <c r="D667" s="8"/>
      <c r="E667" s="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8">
        <v>2364.0</v>
      </c>
      <c r="B668" s="9"/>
      <c r="C668" s="4"/>
      <c r="D668" s="8"/>
      <c r="E668" s="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8">
        <v>2365.0</v>
      </c>
      <c r="B669" s="9"/>
      <c r="C669" s="4"/>
      <c r="D669" s="8"/>
      <c r="E669" s="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8">
        <v>2366.0</v>
      </c>
      <c r="B670" s="9"/>
      <c r="C670" s="4"/>
      <c r="D670" s="8"/>
      <c r="E670" s="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8">
        <v>2367.0</v>
      </c>
      <c r="B671" s="9"/>
      <c r="C671" s="4"/>
      <c r="D671" s="8"/>
      <c r="E671" s="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8">
        <v>2368.0</v>
      </c>
      <c r="B672" s="9"/>
      <c r="C672" s="4"/>
      <c r="D672" s="8"/>
      <c r="E672" s="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8">
        <v>2369.0</v>
      </c>
      <c r="B673" s="9"/>
      <c r="C673" s="4"/>
      <c r="D673" s="8"/>
      <c r="E673" s="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8">
        <v>2370.0</v>
      </c>
      <c r="B674" s="9"/>
      <c r="C674" s="4"/>
      <c r="D674" s="8"/>
      <c r="E674" s="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8">
        <v>2371.0</v>
      </c>
      <c r="B675" s="9"/>
      <c r="C675" s="4"/>
      <c r="D675" s="8"/>
      <c r="E675" s="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8">
        <v>2372.0</v>
      </c>
      <c r="B676" s="9"/>
      <c r="C676" s="4"/>
      <c r="D676" s="8"/>
      <c r="E676" s="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8">
        <v>2373.0</v>
      </c>
      <c r="B677" s="9"/>
      <c r="C677" s="4"/>
      <c r="D677" s="8"/>
      <c r="E677" s="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8">
        <v>2374.0</v>
      </c>
      <c r="B678" s="9"/>
      <c r="C678" s="4"/>
      <c r="D678" s="8"/>
      <c r="E678" s="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8">
        <v>2375.0</v>
      </c>
      <c r="B679" s="9"/>
      <c r="C679" s="4"/>
      <c r="D679" s="8"/>
      <c r="E679" s="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8">
        <v>2376.0</v>
      </c>
      <c r="B680" s="9"/>
      <c r="C680" s="4"/>
      <c r="D680" s="8"/>
      <c r="E680" s="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8">
        <v>2377.0</v>
      </c>
      <c r="B681" s="9"/>
      <c r="C681" s="4"/>
      <c r="D681" s="8"/>
      <c r="E681" s="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8">
        <v>2378.0</v>
      </c>
      <c r="B682" s="9"/>
      <c r="C682" s="4"/>
      <c r="D682" s="8"/>
      <c r="E682" s="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8">
        <v>2379.0</v>
      </c>
      <c r="B683" s="9"/>
      <c r="C683" s="4"/>
      <c r="D683" s="8"/>
      <c r="E683" s="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8">
        <v>2380.0</v>
      </c>
      <c r="B684" s="9"/>
      <c r="C684" s="4"/>
      <c r="D684" s="8"/>
      <c r="E684" s="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8">
        <v>2381.0</v>
      </c>
      <c r="B685" s="9"/>
      <c r="C685" s="4"/>
      <c r="D685" s="8"/>
      <c r="E685" s="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8">
        <v>2382.0</v>
      </c>
      <c r="B686" s="9"/>
      <c r="C686" s="4"/>
      <c r="D686" s="8"/>
      <c r="E686" s="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8">
        <v>2383.0</v>
      </c>
      <c r="B687" s="9"/>
      <c r="C687" s="4"/>
      <c r="D687" s="8"/>
      <c r="E687" s="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8">
        <v>2384.0</v>
      </c>
      <c r="B688" s="9"/>
      <c r="C688" s="4"/>
      <c r="D688" s="8"/>
      <c r="E688" s="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8">
        <v>2385.0</v>
      </c>
      <c r="B689" s="9"/>
      <c r="C689" s="4"/>
      <c r="D689" s="8"/>
      <c r="E689" s="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8">
        <v>2386.0</v>
      </c>
      <c r="B690" s="9"/>
      <c r="C690" s="4"/>
      <c r="D690" s="8"/>
      <c r="E690" s="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8">
        <v>2387.0</v>
      </c>
      <c r="B691" s="9"/>
      <c r="C691" s="4"/>
      <c r="D691" s="8"/>
      <c r="E691" s="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8">
        <v>2388.0</v>
      </c>
      <c r="B692" s="9"/>
      <c r="C692" s="4"/>
      <c r="D692" s="8"/>
      <c r="E692" s="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8">
        <v>2389.0</v>
      </c>
      <c r="B693" s="9"/>
      <c r="C693" s="4"/>
      <c r="D693" s="8"/>
      <c r="E693" s="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8">
        <v>2390.0</v>
      </c>
      <c r="B694" s="9"/>
      <c r="C694" s="4"/>
      <c r="D694" s="8"/>
      <c r="E694" s="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8">
        <v>2391.0</v>
      </c>
      <c r="B695" s="9"/>
      <c r="C695" s="4"/>
      <c r="D695" s="8"/>
      <c r="E695" s="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8">
        <v>2392.0</v>
      </c>
      <c r="B696" s="9"/>
      <c r="C696" s="4"/>
      <c r="D696" s="8"/>
      <c r="E696" s="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8">
        <v>2393.0</v>
      </c>
      <c r="B697" s="9"/>
      <c r="C697" s="4"/>
      <c r="D697" s="8"/>
      <c r="E697" s="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8">
        <v>2394.0</v>
      </c>
      <c r="B698" s="9"/>
      <c r="C698" s="4"/>
      <c r="D698" s="8"/>
      <c r="E698" s="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8">
        <v>2395.0</v>
      </c>
      <c r="B699" s="9"/>
      <c r="C699" s="4"/>
      <c r="D699" s="8"/>
      <c r="E699" s="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8">
        <v>2396.0</v>
      </c>
      <c r="B700" s="9"/>
      <c r="C700" s="4"/>
      <c r="D700" s="8"/>
      <c r="E700" s="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8">
        <v>2397.0</v>
      </c>
      <c r="B701" s="9"/>
      <c r="C701" s="4"/>
      <c r="D701" s="8"/>
      <c r="E701" s="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8">
        <v>2398.0</v>
      </c>
      <c r="B702" s="9"/>
      <c r="C702" s="4"/>
      <c r="D702" s="8"/>
      <c r="E702" s="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8">
        <v>2399.0</v>
      </c>
      <c r="B703" s="9"/>
      <c r="C703" s="4"/>
      <c r="D703" s="8"/>
      <c r="E703" s="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8">
        <v>2400.0</v>
      </c>
      <c r="B704" s="9"/>
      <c r="C704" s="4"/>
      <c r="D704" s="8"/>
      <c r="E704" s="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8">
        <v>2401.0</v>
      </c>
      <c r="B705" s="9"/>
      <c r="C705" s="4"/>
      <c r="D705" s="8"/>
      <c r="E705" s="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8">
        <v>2402.0</v>
      </c>
      <c r="B706" s="9"/>
      <c r="C706" s="4"/>
      <c r="D706" s="8"/>
      <c r="E706" s="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8">
        <v>2403.0</v>
      </c>
      <c r="B707" s="9"/>
      <c r="C707" s="4"/>
      <c r="D707" s="8"/>
      <c r="E707" s="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8">
        <v>2404.0</v>
      </c>
      <c r="B708" s="9"/>
      <c r="C708" s="4"/>
      <c r="D708" s="8"/>
      <c r="E708" s="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8">
        <v>2405.0</v>
      </c>
      <c r="B709" s="9"/>
      <c r="C709" s="4"/>
      <c r="D709" s="8"/>
      <c r="E709" s="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8">
        <v>2406.0</v>
      </c>
      <c r="B710" s="9"/>
      <c r="C710" s="4"/>
      <c r="D710" s="8"/>
      <c r="E710" s="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8">
        <v>2407.0</v>
      </c>
      <c r="B711" s="9"/>
      <c r="C711" s="4"/>
      <c r="D711" s="8"/>
      <c r="E711" s="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8">
        <v>2408.0</v>
      </c>
      <c r="B712" s="9"/>
      <c r="C712" s="4"/>
      <c r="D712" s="8"/>
      <c r="E712" s="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8">
        <v>2409.0</v>
      </c>
      <c r="B713" s="9"/>
      <c r="C713" s="4"/>
      <c r="D713" s="8"/>
      <c r="E713" s="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8">
        <v>2410.0</v>
      </c>
      <c r="B714" s="9"/>
      <c r="C714" s="4"/>
      <c r="D714" s="8"/>
      <c r="E714" s="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8">
        <v>2411.0</v>
      </c>
      <c r="B715" s="9"/>
      <c r="C715" s="4"/>
      <c r="D715" s="8"/>
      <c r="E715" s="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8">
        <v>2412.0</v>
      </c>
      <c r="B716" s="9"/>
      <c r="C716" s="4"/>
      <c r="D716" s="8"/>
      <c r="E716" s="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8">
        <v>2413.0</v>
      </c>
      <c r="B717" s="9"/>
      <c r="C717" s="4"/>
      <c r="D717" s="8"/>
      <c r="E717" s="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8">
        <v>2414.0</v>
      </c>
      <c r="B718" s="9"/>
      <c r="C718" s="4"/>
      <c r="D718" s="8"/>
      <c r="E718" s="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8">
        <v>2415.0</v>
      </c>
      <c r="B719" s="9"/>
      <c r="C719" s="4"/>
      <c r="D719" s="8"/>
      <c r="E719" s="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8">
        <v>2416.0</v>
      </c>
      <c r="B720" s="9"/>
      <c r="C720" s="4"/>
      <c r="D720" s="8"/>
      <c r="E720" s="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8">
        <v>2417.0</v>
      </c>
      <c r="B721" s="9"/>
      <c r="C721" s="4"/>
      <c r="D721" s="8"/>
      <c r="E721" s="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8">
        <v>2418.0</v>
      </c>
      <c r="B722" s="9"/>
      <c r="C722" s="4"/>
      <c r="D722" s="8"/>
      <c r="E722" s="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8">
        <v>2419.0</v>
      </c>
      <c r="B723" s="9"/>
      <c r="C723" s="4"/>
      <c r="D723" s="8"/>
      <c r="E723" s="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8">
        <v>2420.0</v>
      </c>
      <c r="B724" s="9"/>
      <c r="C724" s="4"/>
      <c r="D724" s="8"/>
      <c r="E724" s="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8">
        <v>2421.0</v>
      </c>
      <c r="B725" s="9"/>
      <c r="C725" s="4"/>
      <c r="D725" s="8"/>
      <c r="E725" s="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8">
        <v>2422.0</v>
      </c>
      <c r="B726" s="9"/>
      <c r="C726" s="4"/>
      <c r="D726" s="8"/>
      <c r="E726" s="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8">
        <v>2423.0</v>
      </c>
      <c r="B727" s="9"/>
      <c r="C727" s="4"/>
      <c r="D727" s="8"/>
      <c r="E727" s="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8">
        <v>2424.0</v>
      </c>
      <c r="B728" s="9"/>
      <c r="C728" s="4"/>
      <c r="D728" s="8"/>
      <c r="E728" s="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8">
        <v>2425.0</v>
      </c>
      <c r="B729" s="9"/>
      <c r="C729" s="4"/>
      <c r="D729" s="8"/>
      <c r="E729" s="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8">
        <v>2426.0</v>
      </c>
      <c r="B730" s="9"/>
      <c r="C730" s="4"/>
      <c r="D730" s="8"/>
      <c r="E730" s="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8">
        <v>2427.0</v>
      </c>
      <c r="B731" s="9"/>
      <c r="C731" s="4"/>
      <c r="D731" s="8"/>
      <c r="E731" s="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8">
        <v>2428.0</v>
      </c>
      <c r="B732" s="9"/>
      <c r="C732" s="4"/>
      <c r="D732" s="8"/>
      <c r="E732" s="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8">
        <v>2429.0</v>
      </c>
      <c r="B733" s="9"/>
      <c r="C733" s="4"/>
      <c r="D733" s="8"/>
      <c r="E733" s="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8">
        <v>2430.0</v>
      </c>
      <c r="B734" s="9"/>
      <c r="C734" s="4"/>
      <c r="D734" s="8"/>
      <c r="E734" s="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8">
        <v>2431.0</v>
      </c>
      <c r="B735" s="9"/>
      <c r="C735" s="4"/>
      <c r="D735" s="8"/>
      <c r="E735" s="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8">
        <v>2432.0</v>
      </c>
      <c r="B736" s="9"/>
      <c r="C736" s="4"/>
      <c r="D736" s="8"/>
      <c r="E736" s="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8">
        <v>2433.0</v>
      </c>
      <c r="B737" s="9"/>
      <c r="C737" s="4"/>
      <c r="D737" s="8"/>
      <c r="E737" s="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8">
        <v>2434.0</v>
      </c>
      <c r="B738" s="9"/>
      <c r="C738" s="4"/>
      <c r="D738" s="8"/>
      <c r="E738" s="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8">
        <v>2435.0</v>
      </c>
      <c r="B739" s="9"/>
      <c r="C739" s="4"/>
      <c r="D739" s="8"/>
      <c r="E739" s="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8">
        <v>2436.0</v>
      </c>
      <c r="B740" s="9"/>
      <c r="C740" s="4"/>
      <c r="D740" s="8"/>
      <c r="E740" s="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8">
        <v>2437.0</v>
      </c>
      <c r="B741" s="9"/>
      <c r="C741" s="4"/>
      <c r="D741" s="8"/>
      <c r="E741" s="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8">
        <v>2438.0</v>
      </c>
      <c r="B742" s="9"/>
      <c r="C742" s="4"/>
      <c r="D742" s="8"/>
      <c r="E742" s="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8">
        <v>2439.0</v>
      </c>
      <c r="B743" s="9"/>
      <c r="C743" s="4"/>
      <c r="D743" s="8"/>
      <c r="E743" s="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8">
        <v>2440.0</v>
      </c>
      <c r="B744" s="9"/>
      <c r="C744" s="4"/>
      <c r="D744" s="8"/>
      <c r="E744" s="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8">
        <v>2441.0</v>
      </c>
      <c r="B745" s="9"/>
      <c r="C745" s="4"/>
      <c r="D745" s="8"/>
      <c r="E745" s="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8">
        <v>2442.0</v>
      </c>
      <c r="B746" s="9"/>
      <c r="C746" s="4"/>
      <c r="D746" s="8"/>
      <c r="E746" s="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8">
        <v>2443.0</v>
      </c>
      <c r="B747" s="9"/>
      <c r="C747" s="4"/>
      <c r="D747" s="8"/>
      <c r="E747" s="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8">
        <v>2444.0</v>
      </c>
      <c r="B748" s="9"/>
      <c r="C748" s="4"/>
      <c r="D748" s="8"/>
      <c r="E748" s="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8">
        <v>2445.0</v>
      </c>
      <c r="B749" s="9"/>
      <c r="C749" s="4"/>
      <c r="D749" s="8"/>
      <c r="E749" s="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8">
        <v>2446.0</v>
      </c>
      <c r="B750" s="9"/>
      <c r="C750" s="4"/>
      <c r="D750" s="8"/>
      <c r="E750" s="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8">
        <v>2447.0</v>
      </c>
      <c r="B751" s="9"/>
      <c r="C751" s="4"/>
      <c r="D751" s="8"/>
      <c r="E751" s="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8">
        <v>2448.0</v>
      </c>
      <c r="B752" s="9"/>
      <c r="C752" s="4"/>
      <c r="D752" s="8"/>
      <c r="E752" s="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8">
        <v>2449.0</v>
      </c>
      <c r="B753" s="9"/>
      <c r="C753" s="4"/>
      <c r="D753" s="8"/>
      <c r="E753" s="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8">
        <v>2450.0</v>
      </c>
      <c r="B754" s="9"/>
      <c r="C754" s="4"/>
      <c r="D754" s="8"/>
      <c r="E754" s="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8">
        <v>2451.0</v>
      </c>
      <c r="B755" s="9"/>
      <c r="C755" s="4"/>
      <c r="D755" s="8"/>
      <c r="E755" s="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8">
        <v>2452.0</v>
      </c>
      <c r="B756" s="9"/>
      <c r="C756" s="4"/>
      <c r="D756" s="8"/>
      <c r="E756" s="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8">
        <v>2453.0</v>
      </c>
      <c r="B757" s="9"/>
      <c r="C757" s="4"/>
      <c r="D757" s="8"/>
      <c r="E757" s="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8">
        <v>2454.0</v>
      </c>
      <c r="B758" s="9"/>
      <c r="C758" s="4"/>
      <c r="D758" s="8"/>
      <c r="E758" s="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8">
        <v>2455.0</v>
      </c>
      <c r="B759" s="9"/>
      <c r="C759" s="4"/>
      <c r="D759" s="8"/>
      <c r="E759" s="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8">
        <v>2456.0</v>
      </c>
      <c r="B760" s="9"/>
      <c r="C760" s="4"/>
      <c r="D760" s="8"/>
      <c r="E760" s="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8">
        <v>2457.0</v>
      </c>
      <c r="B761" s="9"/>
      <c r="C761" s="4"/>
      <c r="D761" s="8"/>
      <c r="E761" s="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8">
        <v>2458.0</v>
      </c>
      <c r="B762" s="9"/>
      <c r="C762" s="4"/>
      <c r="D762" s="8"/>
      <c r="E762" s="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8">
        <v>2459.0</v>
      </c>
      <c r="B763" s="9"/>
      <c r="C763" s="4"/>
      <c r="D763" s="8"/>
      <c r="E763" s="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8">
        <v>2460.0</v>
      </c>
      <c r="B764" s="9"/>
      <c r="C764" s="4"/>
      <c r="D764" s="8"/>
      <c r="E764" s="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8">
        <v>2461.0</v>
      </c>
      <c r="B765" s="9"/>
      <c r="C765" s="4"/>
      <c r="D765" s="8"/>
      <c r="E765" s="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8">
        <v>2462.0</v>
      </c>
      <c r="B766" s="9"/>
      <c r="C766" s="4"/>
      <c r="D766" s="8"/>
      <c r="E766" s="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8">
        <v>2463.0</v>
      </c>
      <c r="B767" s="9"/>
      <c r="C767" s="4"/>
      <c r="D767" s="8"/>
      <c r="E767" s="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8">
        <v>2464.0</v>
      </c>
      <c r="B768" s="9"/>
      <c r="C768" s="4"/>
      <c r="D768" s="8"/>
      <c r="E768" s="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8">
        <v>2465.0</v>
      </c>
      <c r="B769" s="9"/>
      <c r="C769" s="4"/>
      <c r="D769" s="8"/>
      <c r="E769" s="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8">
        <v>2466.0</v>
      </c>
      <c r="B770" s="9"/>
      <c r="C770" s="4"/>
      <c r="D770" s="8"/>
      <c r="E770" s="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8">
        <v>2467.0</v>
      </c>
      <c r="B771" s="9"/>
      <c r="C771" s="4"/>
      <c r="D771" s="8"/>
      <c r="E771" s="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8">
        <v>2468.0</v>
      </c>
      <c r="B772" s="9"/>
      <c r="C772" s="4"/>
      <c r="D772" s="8"/>
      <c r="E772" s="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8">
        <v>2469.0</v>
      </c>
      <c r="B773" s="9"/>
      <c r="C773" s="4"/>
      <c r="D773" s="8"/>
      <c r="E773" s="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8">
        <v>2470.0</v>
      </c>
      <c r="B774" s="9"/>
      <c r="C774" s="4"/>
      <c r="D774" s="8"/>
      <c r="E774" s="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8">
        <v>2471.0</v>
      </c>
      <c r="B775" s="9"/>
      <c r="C775" s="4"/>
      <c r="D775" s="8"/>
      <c r="E775" s="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8">
        <v>2472.0</v>
      </c>
      <c r="B776" s="9"/>
      <c r="C776" s="4"/>
      <c r="D776" s="8"/>
      <c r="E776" s="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8">
        <v>2473.0</v>
      </c>
      <c r="B777" s="9"/>
      <c r="C777" s="4"/>
      <c r="D777" s="8"/>
      <c r="E777" s="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8">
        <v>2474.0</v>
      </c>
      <c r="B778" s="9"/>
      <c r="C778" s="4"/>
      <c r="D778" s="8"/>
      <c r="E778" s="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8">
        <v>2475.0</v>
      </c>
      <c r="B779" s="9"/>
      <c r="C779" s="4"/>
      <c r="D779" s="8"/>
      <c r="E779" s="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8">
        <v>2476.0</v>
      </c>
      <c r="B780" s="9"/>
      <c r="C780" s="4"/>
      <c r="D780" s="8"/>
      <c r="E780" s="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8">
        <v>2477.0</v>
      </c>
      <c r="B781" s="9"/>
      <c r="C781" s="4"/>
      <c r="D781" s="8"/>
      <c r="E781" s="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8">
        <v>2478.0</v>
      </c>
      <c r="B782" s="9"/>
      <c r="C782" s="4"/>
      <c r="D782" s="8"/>
      <c r="E782" s="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8">
        <v>2479.0</v>
      </c>
      <c r="B783" s="9"/>
      <c r="C783" s="4"/>
      <c r="D783" s="8"/>
      <c r="E783" s="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8">
        <v>2480.0</v>
      </c>
      <c r="B784" s="9"/>
      <c r="C784" s="4"/>
      <c r="D784" s="8"/>
      <c r="E784" s="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8">
        <v>2481.0</v>
      </c>
      <c r="B785" s="9"/>
      <c r="C785" s="4"/>
      <c r="D785" s="8"/>
      <c r="E785" s="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8">
        <v>2482.0</v>
      </c>
      <c r="B786" s="9"/>
      <c r="C786" s="4"/>
      <c r="D786" s="8"/>
      <c r="E786" s="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8">
        <v>2483.0</v>
      </c>
      <c r="B787" s="9"/>
      <c r="C787" s="4"/>
      <c r="D787" s="8"/>
      <c r="E787" s="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8">
        <v>2484.0</v>
      </c>
      <c r="B788" s="9"/>
      <c r="C788" s="4"/>
      <c r="D788" s="8"/>
      <c r="E788" s="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8">
        <v>2485.0</v>
      </c>
      <c r="B789" s="9"/>
      <c r="C789" s="4"/>
      <c r="D789" s="8"/>
      <c r="E789" s="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8">
        <v>2486.0</v>
      </c>
      <c r="B790" s="9"/>
      <c r="C790" s="4"/>
      <c r="D790" s="8"/>
      <c r="E790" s="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8">
        <v>2487.0</v>
      </c>
      <c r="B791" s="9"/>
      <c r="C791" s="4"/>
      <c r="D791" s="8"/>
      <c r="E791" s="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8">
        <v>2488.0</v>
      </c>
      <c r="B792" s="9"/>
      <c r="C792" s="4"/>
      <c r="D792" s="8"/>
      <c r="E792" s="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8">
        <v>2489.0</v>
      </c>
      <c r="B793" s="9"/>
      <c r="C793" s="4"/>
      <c r="D793" s="8"/>
      <c r="E793" s="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8">
        <v>2490.0</v>
      </c>
      <c r="B794" s="9"/>
      <c r="C794" s="4"/>
      <c r="D794" s="8"/>
      <c r="E794" s="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8">
        <v>2491.0</v>
      </c>
      <c r="B795" s="9"/>
      <c r="C795" s="4"/>
      <c r="D795" s="8"/>
      <c r="E795" s="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8">
        <v>2492.0</v>
      </c>
      <c r="B796" s="9"/>
      <c r="C796" s="4"/>
      <c r="D796" s="8"/>
      <c r="E796" s="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8">
        <v>2493.0</v>
      </c>
      <c r="B797" s="9"/>
      <c r="C797" s="4"/>
      <c r="D797" s="8"/>
      <c r="E797" s="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8">
        <v>2494.0</v>
      </c>
      <c r="B798" s="9"/>
      <c r="C798" s="4"/>
      <c r="D798" s="8"/>
      <c r="E798" s="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8">
        <v>2495.0</v>
      </c>
      <c r="B799" s="9"/>
      <c r="C799" s="4"/>
      <c r="D799" s="8"/>
      <c r="E799" s="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8">
        <v>2496.0</v>
      </c>
      <c r="B800" s="9"/>
      <c r="C800" s="4"/>
      <c r="D800" s="8"/>
      <c r="E800" s="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8">
        <v>2497.0</v>
      </c>
      <c r="B801" s="9"/>
      <c r="C801" s="4"/>
      <c r="D801" s="8"/>
      <c r="E801" s="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8">
        <v>2498.0</v>
      </c>
      <c r="B802" s="9"/>
      <c r="C802" s="4"/>
      <c r="D802" s="8"/>
      <c r="E802" s="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8">
        <v>2499.0</v>
      </c>
      <c r="B803" s="9"/>
      <c r="C803" s="4"/>
      <c r="D803" s="8"/>
      <c r="E803" s="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8">
        <v>2500.0</v>
      </c>
      <c r="B804" s="9"/>
      <c r="C804" s="4"/>
      <c r="D804" s="8"/>
      <c r="E804" s="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8">
        <v>2501.0</v>
      </c>
      <c r="B805" s="9"/>
      <c r="C805" s="4"/>
      <c r="D805" s="8"/>
      <c r="E805" s="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8">
        <v>2502.0</v>
      </c>
      <c r="B806" s="9"/>
      <c r="C806" s="4"/>
      <c r="D806" s="8"/>
      <c r="E806" s="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8">
        <v>2503.0</v>
      </c>
      <c r="B807" s="9"/>
      <c r="C807" s="4"/>
      <c r="D807" s="8"/>
      <c r="E807" s="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8">
        <v>2504.0</v>
      </c>
      <c r="B808" s="9"/>
      <c r="C808" s="4"/>
      <c r="D808" s="8"/>
      <c r="E808" s="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8">
        <v>2505.0</v>
      </c>
      <c r="B809" s="9"/>
      <c r="C809" s="4"/>
      <c r="D809" s="8"/>
      <c r="E809" s="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8">
        <v>2506.0</v>
      </c>
      <c r="B810" s="9"/>
      <c r="C810" s="4"/>
      <c r="D810" s="8"/>
      <c r="E810" s="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8">
        <v>2507.0</v>
      </c>
      <c r="B811" s="9"/>
      <c r="C811" s="4"/>
      <c r="D811" s="8"/>
      <c r="E811" s="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8">
        <v>2508.0</v>
      </c>
      <c r="B812" s="9"/>
      <c r="C812" s="4"/>
      <c r="D812" s="8"/>
      <c r="E812" s="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8">
        <v>2509.0</v>
      </c>
      <c r="B813" s="9"/>
      <c r="C813" s="4"/>
      <c r="D813" s="8"/>
      <c r="E813" s="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8">
        <v>2510.0</v>
      </c>
      <c r="B814" s="9"/>
      <c r="C814" s="4"/>
      <c r="D814" s="8"/>
      <c r="E814" s="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8">
        <v>2511.0</v>
      </c>
      <c r="B815" s="9"/>
      <c r="C815" s="4"/>
      <c r="D815" s="8"/>
      <c r="E815" s="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8">
        <v>2512.0</v>
      </c>
      <c r="B816" s="9"/>
      <c r="C816" s="4"/>
      <c r="D816" s="8"/>
      <c r="E816" s="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8">
        <v>2513.0</v>
      </c>
      <c r="B817" s="9"/>
      <c r="C817" s="4"/>
      <c r="D817" s="8"/>
      <c r="E817" s="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8">
        <v>2514.0</v>
      </c>
      <c r="B818" s="9"/>
      <c r="C818" s="4"/>
      <c r="D818" s="8"/>
      <c r="E818" s="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8">
        <v>2515.0</v>
      </c>
      <c r="B819" s="9"/>
      <c r="C819" s="4"/>
      <c r="D819" s="8"/>
      <c r="E819" s="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8">
        <v>2516.0</v>
      </c>
      <c r="B820" s="9"/>
      <c r="C820" s="4"/>
      <c r="D820" s="8"/>
      <c r="E820" s="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8">
        <v>2517.0</v>
      </c>
      <c r="B821" s="9"/>
      <c r="C821" s="4"/>
      <c r="D821" s="8"/>
      <c r="E821" s="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8">
        <v>2518.0</v>
      </c>
      <c r="B822" s="9"/>
      <c r="C822" s="4"/>
      <c r="D822" s="8"/>
      <c r="E822" s="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8">
        <v>2519.0</v>
      </c>
      <c r="B823" s="9"/>
      <c r="C823" s="4"/>
      <c r="D823" s="8"/>
      <c r="E823" s="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8">
        <v>2520.0</v>
      </c>
      <c r="B824" s="9"/>
      <c r="C824" s="4"/>
      <c r="D824" s="8"/>
      <c r="E824" s="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8">
        <v>2521.0</v>
      </c>
      <c r="B825" s="9"/>
      <c r="C825" s="4"/>
      <c r="D825" s="8"/>
      <c r="E825" s="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8">
        <v>2522.0</v>
      </c>
      <c r="B826" s="9"/>
      <c r="C826" s="4"/>
      <c r="D826" s="8"/>
      <c r="E826" s="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8">
        <v>2523.0</v>
      </c>
      <c r="B827" s="9"/>
      <c r="C827" s="4"/>
      <c r="D827" s="8"/>
      <c r="E827" s="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8">
        <v>2524.0</v>
      </c>
      <c r="B828" s="9"/>
      <c r="C828" s="4"/>
      <c r="D828" s="8"/>
      <c r="E828" s="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8">
        <v>2525.0</v>
      </c>
      <c r="B829" s="9"/>
      <c r="C829" s="4"/>
      <c r="D829" s="8"/>
      <c r="E829" s="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8">
        <v>2526.0</v>
      </c>
      <c r="B830" s="9"/>
      <c r="C830" s="4"/>
      <c r="D830" s="8"/>
      <c r="E830" s="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8">
        <v>2527.0</v>
      </c>
      <c r="B831" s="9"/>
      <c r="C831" s="4"/>
      <c r="D831" s="8"/>
      <c r="E831" s="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8">
        <v>2528.0</v>
      </c>
      <c r="B832" s="9"/>
      <c r="C832" s="4"/>
      <c r="D832" s="8"/>
      <c r="E832" s="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8">
        <v>2529.0</v>
      </c>
      <c r="B833" s="9"/>
      <c r="C833" s="4"/>
      <c r="D833" s="8"/>
      <c r="E833" s="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8">
        <v>2530.0</v>
      </c>
      <c r="B834" s="9"/>
      <c r="C834" s="4"/>
      <c r="D834" s="8"/>
      <c r="E834" s="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8">
        <v>2531.0</v>
      </c>
      <c r="B835" s="9"/>
      <c r="C835" s="4"/>
      <c r="D835" s="8"/>
      <c r="E835" s="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8">
        <v>2532.0</v>
      </c>
      <c r="B836" s="9"/>
      <c r="C836" s="4"/>
      <c r="D836" s="8"/>
      <c r="E836" s="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8">
        <v>2533.0</v>
      </c>
      <c r="B837" s="9"/>
      <c r="C837" s="4"/>
      <c r="D837" s="8"/>
      <c r="E837" s="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8">
        <v>2534.0</v>
      </c>
      <c r="B838" s="9"/>
      <c r="C838" s="4"/>
      <c r="D838" s="8"/>
      <c r="E838" s="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8">
        <v>2535.0</v>
      </c>
      <c r="B839" s="9"/>
      <c r="C839" s="4"/>
      <c r="D839" s="8"/>
      <c r="E839" s="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8">
        <v>2536.0</v>
      </c>
      <c r="B840" s="9"/>
      <c r="C840" s="4"/>
      <c r="D840" s="8"/>
      <c r="E840" s="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8">
        <v>2537.0</v>
      </c>
      <c r="B841" s="9"/>
      <c r="C841" s="4"/>
      <c r="D841" s="8"/>
      <c r="E841" s="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8">
        <v>2538.0</v>
      </c>
      <c r="B842" s="9"/>
      <c r="C842" s="4"/>
      <c r="D842" s="8"/>
      <c r="E842" s="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8">
        <v>2539.0</v>
      </c>
      <c r="B843" s="9"/>
      <c r="C843" s="4"/>
      <c r="D843" s="8"/>
      <c r="E843" s="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8">
        <v>2540.0</v>
      </c>
      <c r="B844" s="9"/>
      <c r="C844" s="4"/>
      <c r="D844" s="8"/>
      <c r="E844" s="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8">
        <v>2541.0</v>
      </c>
      <c r="B845" s="9"/>
      <c r="C845" s="4"/>
      <c r="D845" s="8"/>
      <c r="E845" s="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8">
        <v>2542.0</v>
      </c>
      <c r="B846" s="9"/>
      <c r="C846" s="4"/>
      <c r="D846" s="8"/>
      <c r="E846" s="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8">
        <v>2543.0</v>
      </c>
      <c r="B847" s="9"/>
      <c r="C847" s="4"/>
      <c r="D847" s="8"/>
      <c r="E847" s="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8">
        <v>2544.0</v>
      </c>
      <c r="B848" s="9"/>
      <c r="C848" s="4"/>
      <c r="D848" s="8"/>
      <c r="E848" s="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8">
        <v>2545.0</v>
      </c>
      <c r="B849" s="9"/>
      <c r="C849" s="4"/>
      <c r="D849" s="8"/>
      <c r="E849" s="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8">
        <v>2546.0</v>
      </c>
      <c r="B850" s="9"/>
      <c r="C850" s="4"/>
      <c r="D850" s="8"/>
      <c r="E850" s="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8">
        <v>2547.0</v>
      </c>
      <c r="B851" s="9"/>
      <c r="C851" s="4"/>
      <c r="D851" s="8"/>
      <c r="E851" s="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8">
        <v>2548.0</v>
      </c>
      <c r="B852" s="9"/>
      <c r="C852" s="4"/>
      <c r="D852" s="8"/>
      <c r="E852" s="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8">
        <v>2549.0</v>
      </c>
      <c r="B853" s="9"/>
      <c r="C853" s="4"/>
      <c r="D853" s="8"/>
      <c r="E853" s="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8">
        <v>2550.0</v>
      </c>
      <c r="B854" s="9"/>
      <c r="C854" s="4"/>
      <c r="D854" s="8"/>
      <c r="E854" s="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8">
        <v>2551.0</v>
      </c>
      <c r="B855" s="9"/>
      <c r="C855" s="4"/>
      <c r="D855" s="8"/>
      <c r="E855" s="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8">
        <v>2552.0</v>
      </c>
      <c r="B856" s="9"/>
      <c r="C856" s="4"/>
      <c r="D856" s="8"/>
      <c r="E856" s="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8">
        <v>2553.0</v>
      </c>
      <c r="B857" s="9"/>
      <c r="C857" s="4"/>
      <c r="D857" s="8"/>
      <c r="E857" s="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8">
        <v>2554.0</v>
      </c>
      <c r="B858" s="9"/>
      <c r="C858" s="4"/>
      <c r="D858" s="8"/>
      <c r="E858" s="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8">
        <v>2555.0</v>
      </c>
      <c r="B859" s="9"/>
      <c r="C859" s="4"/>
      <c r="D859" s="8"/>
      <c r="E859" s="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8">
        <v>2556.0</v>
      </c>
      <c r="B860" s="9"/>
      <c r="C860" s="4"/>
      <c r="D860" s="8"/>
      <c r="E860" s="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8">
        <v>2557.0</v>
      </c>
      <c r="B861" s="9"/>
      <c r="C861" s="4"/>
      <c r="D861" s="8"/>
      <c r="E861" s="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8">
        <v>2558.0</v>
      </c>
      <c r="B862" s="9"/>
      <c r="C862" s="4"/>
      <c r="D862" s="8"/>
      <c r="E862" s="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8">
        <v>2559.0</v>
      </c>
      <c r="B863" s="9"/>
      <c r="C863" s="4"/>
      <c r="D863" s="8"/>
      <c r="E863" s="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8">
        <v>2560.0</v>
      </c>
      <c r="B864" s="9"/>
      <c r="C864" s="4"/>
      <c r="D864" s="8"/>
      <c r="E864" s="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8">
        <v>2561.0</v>
      </c>
      <c r="B865" s="9"/>
      <c r="C865" s="4"/>
      <c r="D865" s="8"/>
      <c r="E865" s="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8">
        <v>2562.0</v>
      </c>
      <c r="B866" s="9"/>
      <c r="C866" s="4"/>
      <c r="D866" s="8"/>
      <c r="E866" s="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8">
        <v>2563.0</v>
      </c>
      <c r="B867" s="9"/>
      <c r="C867" s="4"/>
      <c r="D867" s="8"/>
      <c r="E867" s="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8">
        <v>2564.0</v>
      </c>
      <c r="B868" s="9"/>
      <c r="C868" s="4"/>
      <c r="D868" s="8"/>
      <c r="E868" s="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8">
        <v>2565.0</v>
      </c>
      <c r="B869" s="9"/>
      <c r="C869" s="4"/>
      <c r="D869" s="8"/>
      <c r="E869" s="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8">
        <v>2566.0</v>
      </c>
      <c r="B870" s="9"/>
      <c r="C870" s="4"/>
      <c r="D870" s="8"/>
      <c r="E870" s="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8">
        <v>2567.0</v>
      </c>
      <c r="B871" s="9"/>
      <c r="C871" s="4"/>
      <c r="D871" s="8"/>
      <c r="E871" s="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8">
        <v>2568.0</v>
      </c>
      <c r="B872" s="9"/>
      <c r="C872" s="4"/>
      <c r="D872" s="8"/>
      <c r="E872" s="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8">
        <v>2569.0</v>
      </c>
      <c r="B873" s="9"/>
      <c r="C873" s="4"/>
      <c r="D873" s="8"/>
      <c r="E873" s="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8">
        <v>2570.0</v>
      </c>
      <c r="B874" s="9"/>
      <c r="C874" s="4"/>
      <c r="D874" s="8"/>
      <c r="E874" s="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8">
        <v>2571.0</v>
      </c>
      <c r="B875" s="9"/>
      <c r="C875" s="4"/>
      <c r="D875" s="8"/>
      <c r="E875" s="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8">
        <v>2572.0</v>
      </c>
      <c r="B876" s="9"/>
      <c r="C876" s="4"/>
      <c r="D876" s="8"/>
      <c r="E876" s="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8">
        <v>2573.0</v>
      </c>
      <c r="B877" s="9"/>
      <c r="C877" s="4"/>
      <c r="D877" s="8"/>
      <c r="E877" s="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8">
        <v>2574.0</v>
      </c>
      <c r="B878" s="9"/>
      <c r="C878" s="4"/>
      <c r="D878" s="8"/>
      <c r="E878" s="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8">
        <v>2575.0</v>
      </c>
      <c r="B879" s="9"/>
      <c r="C879" s="4"/>
      <c r="D879" s="8"/>
      <c r="E879" s="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8">
        <v>2576.0</v>
      </c>
      <c r="B880" s="9"/>
      <c r="C880" s="4"/>
      <c r="D880" s="8"/>
      <c r="E880" s="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8">
        <v>2577.0</v>
      </c>
      <c r="B881" s="9"/>
      <c r="C881" s="4"/>
      <c r="D881" s="8"/>
      <c r="E881" s="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8">
        <v>2578.0</v>
      </c>
      <c r="B882" s="9"/>
      <c r="C882" s="4"/>
      <c r="D882" s="8"/>
      <c r="E882" s="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8">
        <v>2579.0</v>
      </c>
      <c r="B883" s="9"/>
      <c r="C883" s="4"/>
      <c r="D883" s="8"/>
      <c r="E883" s="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8">
        <v>2580.0</v>
      </c>
      <c r="B884" s="9"/>
      <c r="C884" s="4"/>
      <c r="D884" s="8"/>
      <c r="E884" s="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8">
        <v>2581.0</v>
      </c>
      <c r="B885" s="9"/>
      <c r="C885" s="4"/>
      <c r="D885" s="8"/>
      <c r="E885" s="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8">
        <v>2582.0</v>
      </c>
      <c r="B886" s="9"/>
      <c r="C886" s="4"/>
      <c r="D886" s="8"/>
      <c r="E886" s="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8">
        <v>2583.0</v>
      </c>
      <c r="B887" s="9"/>
      <c r="C887" s="4"/>
      <c r="D887" s="8"/>
      <c r="E887" s="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8">
        <v>2584.0</v>
      </c>
      <c r="B888" s="9"/>
      <c r="C888" s="4"/>
      <c r="D888" s="8"/>
      <c r="E888" s="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8">
        <v>2585.0</v>
      </c>
      <c r="B889" s="9"/>
      <c r="C889" s="4"/>
      <c r="D889" s="8"/>
      <c r="E889" s="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8">
        <v>2586.0</v>
      </c>
      <c r="B890" s="9"/>
      <c r="C890" s="4"/>
      <c r="D890" s="8"/>
      <c r="E890" s="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8">
        <v>2587.0</v>
      </c>
      <c r="B891" s="9"/>
      <c r="C891" s="4"/>
      <c r="D891" s="8"/>
      <c r="E891" s="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8">
        <v>2588.0</v>
      </c>
      <c r="B892" s="9"/>
      <c r="C892" s="4"/>
      <c r="D892" s="8"/>
      <c r="E892" s="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8">
        <v>2589.0</v>
      </c>
      <c r="B893" s="9"/>
      <c r="C893" s="4"/>
      <c r="D893" s="8"/>
      <c r="E893" s="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8">
        <v>2590.0</v>
      </c>
      <c r="B894" s="9"/>
      <c r="C894" s="4"/>
      <c r="D894" s="8"/>
      <c r="E894" s="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8">
        <v>2591.0</v>
      </c>
      <c r="B895" s="9"/>
      <c r="C895" s="4"/>
      <c r="D895" s="8"/>
      <c r="E895" s="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8">
        <v>2592.0</v>
      </c>
      <c r="B896" s="9"/>
      <c r="C896" s="4"/>
      <c r="D896" s="8"/>
      <c r="E896" s="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8">
        <v>2593.0</v>
      </c>
      <c r="B897" s="9"/>
      <c r="C897" s="4"/>
      <c r="D897" s="8"/>
      <c r="E897" s="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8">
        <v>2594.0</v>
      </c>
      <c r="B898" s="9"/>
      <c r="C898" s="4"/>
      <c r="D898" s="8"/>
      <c r="E898" s="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8">
        <v>2595.0</v>
      </c>
      <c r="B899" s="9"/>
      <c r="C899" s="4"/>
      <c r="D899" s="8"/>
      <c r="E899" s="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8">
        <v>2596.0</v>
      </c>
      <c r="B900" s="9"/>
      <c r="C900" s="4"/>
      <c r="D900" s="8"/>
      <c r="E900" s="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8">
        <v>2597.0</v>
      </c>
      <c r="B901" s="9"/>
      <c r="C901" s="4"/>
      <c r="D901" s="8"/>
      <c r="E901" s="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8">
        <v>2598.0</v>
      </c>
      <c r="B902" s="9"/>
      <c r="C902" s="4"/>
      <c r="D902" s="8"/>
      <c r="E902" s="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8">
        <v>2599.0</v>
      </c>
      <c r="B903" s="9"/>
      <c r="C903" s="4"/>
      <c r="D903" s="8"/>
      <c r="E903" s="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8">
        <v>2600.0</v>
      </c>
      <c r="B904" s="9"/>
      <c r="C904" s="4"/>
      <c r="D904" s="8"/>
      <c r="E904" s="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8">
        <v>2601.0</v>
      </c>
      <c r="B905" s="9"/>
      <c r="C905" s="4"/>
      <c r="D905" s="8"/>
      <c r="E905" s="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8">
        <v>2602.0</v>
      </c>
      <c r="B906" s="9"/>
      <c r="C906" s="4"/>
      <c r="D906" s="8"/>
      <c r="E906" s="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8">
        <v>2603.0</v>
      </c>
      <c r="B907" s="9"/>
      <c r="C907" s="4"/>
      <c r="D907" s="8"/>
      <c r="E907" s="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8">
        <v>2604.0</v>
      </c>
      <c r="B908" s="9"/>
      <c r="C908" s="4"/>
      <c r="D908" s="8"/>
      <c r="E908" s="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8">
        <v>2605.0</v>
      </c>
      <c r="B909" s="9"/>
      <c r="C909" s="4"/>
      <c r="D909" s="8"/>
      <c r="E909" s="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8">
        <v>2606.0</v>
      </c>
      <c r="B910" s="9"/>
      <c r="C910" s="4"/>
      <c r="D910" s="8"/>
      <c r="E910" s="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8">
        <v>2607.0</v>
      </c>
      <c r="B911" s="9"/>
      <c r="C911" s="4"/>
      <c r="D911" s="8"/>
      <c r="E911" s="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8">
        <v>2608.0</v>
      </c>
      <c r="B912" s="9"/>
      <c r="C912" s="4"/>
      <c r="D912" s="8"/>
      <c r="E912" s="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8">
        <v>2609.0</v>
      </c>
      <c r="B913" s="9"/>
      <c r="C913" s="4"/>
      <c r="D913" s="8"/>
      <c r="E913" s="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8">
        <v>2610.0</v>
      </c>
      <c r="B914" s="9"/>
      <c r="C914" s="4"/>
      <c r="D914" s="8"/>
      <c r="E914" s="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8">
        <v>2611.0</v>
      </c>
      <c r="B915" s="9"/>
      <c r="C915" s="4"/>
      <c r="D915" s="8"/>
      <c r="E915" s="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8">
        <v>2612.0</v>
      </c>
      <c r="B916" s="9"/>
      <c r="C916" s="4"/>
      <c r="D916" s="8"/>
      <c r="E916" s="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8">
        <v>2613.0</v>
      </c>
      <c r="B917" s="9"/>
      <c r="C917" s="4"/>
      <c r="D917" s="8"/>
      <c r="E917" s="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8">
        <v>2614.0</v>
      </c>
      <c r="B918" s="9"/>
      <c r="C918" s="4"/>
      <c r="D918" s="8"/>
      <c r="E918" s="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8">
        <v>2615.0</v>
      </c>
      <c r="B919" s="9"/>
      <c r="C919" s="4"/>
      <c r="D919" s="8"/>
      <c r="E919" s="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8">
        <v>2616.0</v>
      </c>
      <c r="B920" s="9"/>
      <c r="C920" s="4"/>
      <c r="D920" s="8"/>
      <c r="E920" s="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8">
        <v>2617.0</v>
      </c>
      <c r="B921" s="9"/>
      <c r="C921" s="4"/>
      <c r="D921" s="8"/>
      <c r="E921" s="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8">
        <v>2618.0</v>
      </c>
      <c r="B922" s="9"/>
      <c r="C922" s="4"/>
      <c r="D922" s="8"/>
      <c r="E922" s="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8">
        <v>2619.0</v>
      </c>
      <c r="B923" s="9"/>
      <c r="C923" s="4"/>
      <c r="D923" s="8"/>
      <c r="E923" s="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8">
        <v>2620.0</v>
      </c>
      <c r="B924" s="9"/>
      <c r="C924" s="4"/>
      <c r="D924" s="8"/>
      <c r="E924" s="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8">
        <v>2621.0</v>
      </c>
      <c r="B925" s="9"/>
      <c r="C925" s="4"/>
      <c r="D925" s="8"/>
      <c r="E925" s="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8">
        <v>2622.0</v>
      </c>
      <c r="B926" s="9"/>
      <c r="C926" s="4"/>
      <c r="D926" s="8"/>
      <c r="E926" s="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8">
        <v>2623.0</v>
      </c>
      <c r="B927" s="9"/>
      <c r="C927" s="4"/>
      <c r="D927" s="8"/>
      <c r="E927" s="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8">
        <v>2624.0</v>
      </c>
      <c r="B928" s="9"/>
      <c r="C928" s="4"/>
      <c r="D928" s="8"/>
      <c r="E928" s="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8">
        <v>2625.0</v>
      </c>
      <c r="B929" s="9"/>
      <c r="C929" s="4"/>
      <c r="D929" s="8"/>
      <c r="E929" s="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8">
        <v>2626.0</v>
      </c>
      <c r="B930" s="9"/>
      <c r="C930" s="4"/>
      <c r="D930" s="8"/>
      <c r="E930" s="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8">
        <v>2627.0</v>
      </c>
      <c r="B931" s="9"/>
      <c r="C931" s="4"/>
      <c r="D931" s="8"/>
      <c r="E931" s="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8">
        <v>2628.0</v>
      </c>
      <c r="B932" s="9"/>
      <c r="C932" s="4"/>
      <c r="D932" s="8"/>
      <c r="E932" s="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8">
        <v>2629.0</v>
      </c>
      <c r="B933" s="9"/>
      <c r="C933" s="4"/>
      <c r="D933" s="8"/>
      <c r="E933" s="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8">
        <v>2630.0</v>
      </c>
      <c r="B934" s="9"/>
      <c r="C934" s="4"/>
      <c r="D934" s="8"/>
      <c r="E934" s="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8">
        <v>2631.0</v>
      </c>
      <c r="B935" s="9"/>
      <c r="C935" s="4"/>
      <c r="D935" s="8"/>
      <c r="E935" s="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8">
        <v>2632.0</v>
      </c>
      <c r="B936" s="9"/>
      <c r="C936" s="4"/>
      <c r="D936" s="8"/>
      <c r="E936" s="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8">
        <v>2633.0</v>
      </c>
      <c r="B937" s="9"/>
      <c r="C937" s="4"/>
      <c r="D937" s="8"/>
      <c r="E937" s="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8">
        <v>2634.0</v>
      </c>
      <c r="B938" s="9"/>
      <c r="C938" s="4"/>
      <c r="D938" s="8"/>
      <c r="E938" s="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8">
        <v>2635.0</v>
      </c>
      <c r="B939" s="9"/>
      <c r="C939" s="4"/>
      <c r="D939" s="8"/>
      <c r="E939" s="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8">
        <v>2636.0</v>
      </c>
      <c r="B940" s="9"/>
      <c r="C940" s="4"/>
      <c r="D940" s="8"/>
      <c r="E940" s="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8">
        <v>2637.0</v>
      </c>
      <c r="B941" s="9"/>
      <c r="C941" s="4"/>
      <c r="D941" s="8"/>
      <c r="E941" s="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8">
        <v>2638.0</v>
      </c>
      <c r="B942" s="9"/>
      <c r="C942" s="4"/>
      <c r="D942" s="8"/>
      <c r="E942" s="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8">
        <v>2639.0</v>
      </c>
      <c r="B943" s="9"/>
      <c r="C943" s="4"/>
      <c r="D943" s="8"/>
      <c r="E943" s="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8">
        <v>2640.0</v>
      </c>
      <c r="B944" s="9"/>
      <c r="C944" s="4"/>
      <c r="D944" s="8"/>
      <c r="E944" s="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8">
        <v>2641.0</v>
      </c>
      <c r="B945" s="9"/>
      <c r="C945" s="4"/>
      <c r="D945" s="8"/>
      <c r="E945" s="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8">
        <v>2642.0</v>
      </c>
      <c r="B946" s="9"/>
      <c r="C946" s="4"/>
      <c r="D946" s="8"/>
      <c r="E946" s="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8">
        <v>2643.0</v>
      </c>
      <c r="B947" s="9"/>
      <c r="C947" s="4"/>
      <c r="D947" s="8"/>
      <c r="E947" s="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8">
        <v>2644.0</v>
      </c>
      <c r="B948" s="9"/>
      <c r="C948" s="4"/>
      <c r="D948" s="8"/>
      <c r="E948" s="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8">
        <v>2645.0</v>
      </c>
      <c r="B949" s="9"/>
      <c r="C949" s="4"/>
      <c r="D949" s="8"/>
      <c r="E949" s="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8">
        <v>2646.0</v>
      </c>
      <c r="B950" s="9"/>
      <c r="C950" s="4"/>
      <c r="D950" s="8"/>
      <c r="E950" s="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8">
        <v>2647.0</v>
      </c>
      <c r="B951" s="9"/>
      <c r="C951" s="4"/>
      <c r="D951" s="8"/>
      <c r="E951" s="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8">
        <v>2648.0</v>
      </c>
      <c r="B952" s="9"/>
      <c r="C952" s="4"/>
      <c r="D952" s="8"/>
      <c r="E952" s="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8">
        <v>2649.0</v>
      </c>
      <c r="B953" s="9"/>
      <c r="C953" s="4"/>
      <c r="D953" s="8"/>
      <c r="E953" s="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8">
        <v>2650.0</v>
      </c>
      <c r="B954" s="9"/>
      <c r="C954" s="4"/>
      <c r="D954" s="8"/>
      <c r="E954" s="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8">
        <v>2651.0</v>
      </c>
      <c r="B955" s="9"/>
      <c r="C955" s="4"/>
      <c r="D955" s="8"/>
      <c r="E955" s="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8">
        <v>2652.0</v>
      </c>
      <c r="B956" s="9"/>
      <c r="C956" s="4"/>
      <c r="D956" s="8"/>
      <c r="E956" s="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8">
        <v>2653.0</v>
      </c>
      <c r="B957" s="9"/>
      <c r="C957" s="4"/>
      <c r="D957" s="8"/>
      <c r="E957" s="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8">
        <v>2654.0</v>
      </c>
      <c r="B958" s="9"/>
      <c r="C958" s="4"/>
      <c r="D958" s="8"/>
      <c r="E958" s="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8">
        <v>2655.0</v>
      </c>
      <c r="B959" s="9"/>
      <c r="C959" s="4"/>
      <c r="D959" s="8"/>
      <c r="E959" s="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8">
        <v>2656.0</v>
      </c>
      <c r="B960" s="9"/>
      <c r="C960" s="4"/>
      <c r="D960" s="8"/>
      <c r="E960" s="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8">
        <v>2657.0</v>
      </c>
      <c r="B961" s="9"/>
      <c r="C961" s="4"/>
      <c r="D961" s="8"/>
      <c r="E961" s="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8">
        <v>2658.0</v>
      </c>
      <c r="B962" s="9"/>
      <c r="C962" s="4"/>
      <c r="D962" s="8"/>
      <c r="E962" s="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8">
        <v>2659.0</v>
      </c>
      <c r="B963" s="9"/>
      <c r="C963" s="4"/>
      <c r="D963" s="8"/>
      <c r="E963" s="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8">
        <v>2660.0</v>
      </c>
      <c r="B964" s="9"/>
      <c r="C964" s="4"/>
      <c r="D964" s="8"/>
      <c r="E964" s="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8">
        <v>2661.0</v>
      </c>
      <c r="B965" s="9"/>
      <c r="C965" s="4"/>
      <c r="D965" s="8"/>
      <c r="E965" s="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8">
        <v>2662.0</v>
      </c>
      <c r="B966" s="9"/>
      <c r="C966" s="4"/>
      <c r="D966" s="8"/>
      <c r="E966" s="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8">
        <v>2663.0</v>
      </c>
      <c r="B967" s="9"/>
      <c r="C967" s="4"/>
      <c r="D967" s="8"/>
      <c r="E967" s="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8">
        <v>2664.0</v>
      </c>
      <c r="B968" s="9"/>
      <c r="C968" s="4"/>
      <c r="D968" s="8"/>
      <c r="E968" s="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8">
        <v>2665.0</v>
      </c>
      <c r="B969" s="9"/>
      <c r="C969" s="4"/>
      <c r="D969" s="8"/>
      <c r="E969" s="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8">
        <v>2666.0</v>
      </c>
      <c r="B970" s="9"/>
      <c r="C970" s="4"/>
      <c r="D970" s="8"/>
      <c r="E970" s="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8">
        <v>2667.0</v>
      </c>
      <c r="B971" s="9"/>
      <c r="C971" s="4"/>
      <c r="D971" s="8"/>
      <c r="E971" s="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8">
        <v>2668.0</v>
      </c>
      <c r="B972" s="9"/>
      <c r="C972" s="4"/>
      <c r="D972" s="8"/>
      <c r="E972" s="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8">
        <v>2669.0</v>
      </c>
      <c r="B973" s="9"/>
      <c r="C973" s="4"/>
      <c r="D973" s="8"/>
      <c r="E973" s="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8">
        <v>2670.0</v>
      </c>
      <c r="B974" s="9"/>
      <c r="C974" s="4"/>
      <c r="D974" s="8"/>
      <c r="E974" s="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8">
        <v>2671.0</v>
      </c>
      <c r="B975" s="9"/>
      <c r="C975" s="4"/>
      <c r="D975" s="8"/>
      <c r="E975" s="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8">
        <v>2672.0</v>
      </c>
      <c r="B976" s="9"/>
      <c r="C976" s="4"/>
      <c r="D976" s="8"/>
      <c r="E976" s="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8">
        <v>2673.0</v>
      </c>
      <c r="B977" s="9"/>
      <c r="C977" s="4"/>
      <c r="D977" s="8"/>
      <c r="E977" s="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8">
        <v>2674.0</v>
      </c>
      <c r="B978" s="9"/>
      <c r="C978" s="4"/>
      <c r="D978" s="8"/>
      <c r="E978" s="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8">
        <v>2675.0</v>
      </c>
      <c r="B979" s="9"/>
      <c r="C979" s="4"/>
      <c r="D979" s="8"/>
      <c r="E979" s="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8">
        <v>2676.0</v>
      </c>
      <c r="B980" s="9"/>
      <c r="C980" s="4"/>
      <c r="D980" s="8"/>
      <c r="E980" s="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8">
        <v>2677.0</v>
      </c>
      <c r="B981" s="9"/>
      <c r="C981" s="4"/>
      <c r="D981" s="8"/>
      <c r="E981" s="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8">
        <v>2678.0</v>
      </c>
      <c r="B982" s="9"/>
      <c r="C982" s="4"/>
      <c r="D982" s="8"/>
      <c r="E982" s="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8">
        <v>2679.0</v>
      </c>
      <c r="B983" s="9"/>
      <c r="C983" s="4"/>
      <c r="D983" s="8"/>
      <c r="E983" s="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8">
        <v>2680.0</v>
      </c>
      <c r="B984" s="9"/>
      <c r="C984" s="4"/>
      <c r="D984" s="8"/>
      <c r="E984" s="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8">
        <v>2681.0</v>
      </c>
      <c r="B985" s="9"/>
      <c r="C985" s="4"/>
      <c r="D985" s="8"/>
      <c r="E985" s="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8">
        <v>2682.0</v>
      </c>
      <c r="B986" s="9"/>
      <c r="C986" s="4"/>
      <c r="D986" s="8"/>
      <c r="E986" s="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8">
        <v>2683.0</v>
      </c>
      <c r="B987" s="9"/>
      <c r="C987" s="4"/>
      <c r="D987" s="8"/>
      <c r="E987" s="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8">
        <v>2684.0</v>
      </c>
      <c r="B988" s="9"/>
      <c r="C988" s="4"/>
      <c r="D988" s="8"/>
      <c r="E988" s="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8">
        <v>2685.0</v>
      </c>
      <c r="B989" s="9"/>
      <c r="C989" s="4"/>
      <c r="D989" s="8"/>
      <c r="E989" s="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8">
        <v>2686.0</v>
      </c>
      <c r="B990" s="9"/>
      <c r="C990" s="4"/>
      <c r="D990" s="8"/>
      <c r="E990" s="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8">
        <v>2687.0</v>
      </c>
      <c r="B991" s="9"/>
      <c r="C991" s="4"/>
      <c r="D991" s="8"/>
      <c r="E991" s="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8">
        <v>2688.0</v>
      </c>
      <c r="B992" s="9"/>
      <c r="C992" s="4"/>
      <c r="D992" s="8"/>
      <c r="E992" s="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8">
        <v>2689.0</v>
      </c>
      <c r="B993" s="9"/>
      <c r="C993" s="4"/>
      <c r="D993" s="8"/>
      <c r="E993" s="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8">
        <v>2690.0</v>
      </c>
      <c r="B994" s="9"/>
      <c r="C994" s="4"/>
      <c r="D994" s="8"/>
      <c r="E994" s="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8">
        <v>2691.0</v>
      </c>
      <c r="B995" s="9"/>
      <c r="C995" s="4"/>
      <c r="D995" s="8"/>
      <c r="E995" s="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8">
        <v>2692.0</v>
      </c>
      <c r="B996" s="9"/>
      <c r="C996" s="4"/>
      <c r="D996" s="8"/>
      <c r="E996" s="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8">
        <v>2693.0</v>
      </c>
      <c r="B997" s="9"/>
      <c r="C997" s="4"/>
      <c r="D997" s="8"/>
      <c r="E997" s="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8">
        <v>2694.0</v>
      </c>
      <c r="B998" s="9"/>
      <c r="C998" s="4"/>
      <c r="D998" s="8"/>
      <c r="E998" s="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8">
        <v>2695.0</v>
      </c>
      <c r="B999" s="9"/>
      <c r="C999" s="4"/>
      <c r="D999" s="8"/>
      <c r="E999" s="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8">
        <v>2696.0</v>
      </c>
      <c r="B1000" s="9"/>
      <c r="C1000" s="4"/>
      <c r="D1000" s="8"/>
      <c r="E1000" s="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t="15.75" customHeight="1">
      <c r="A1001" s="8">
        <v>2697.0</v>
      </c>
      <c r="B1001" s="9"/>
      <c r="C1001" s="4"/>
      <c r="D1001" s="8"/>
      <c r="E1001" s="8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t="15.75" customHeight="1">
      <c r="A1002" s="8">
        <v>2698.0</v>
      </c>
      <c r="B1002" s="9"/>
      <c r="C1002" s="4"/>
      <c r="D1002" s="8"/>
      <c r="E1002" s="8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t="15.75" customHeight="1">
      <c r="A1003" s="8">
        <v>2699.0</v>
      </c>
      <c r="B1003" s="9"/>
      <c r="C1003" s="4"/>
      <c r="D1003" s="8"/>
      <c r="E1003" s="8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t="15.75" customHeight="1">
      <c r="A1004" s="8">
        <v>2700.0</v>
      </c>
      <c r="B1004" s="9"/>
      <c r="C1004" s="4"/>
      <c r="D1004" s="8"/>
      <c r="E1004" s="8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t="15.75" customHeight="1">
      <c r="A1005" s="8">
        <v>2701.0</v>
      </c>
      <c r="B1005" s="9"/>
      <c r="C1005" s="4"/>
      <c r="D1005" s="8"/>
      <c r="E1005" s="8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t="15.75" customHeight="1">
      <c r="A1006" s="8">
        <v>2702.0</v>
      </c>
      <c r="B1006" s="9"/>
      <c r="C1006" s="4"/>
      <c r="D1006" s="8"/>
      <c r="E1006" s="8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t="15.75" customHeight="1">
      <c r="A1007" s="8">
        <v>2703.0</v>
      </c>
      <c r="B1007" s="9"/>
      <c r="C1007" s="4"/>
      <c r="D1007" s="8"/>
      <c r="E1007" s="8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t="15.75" customHeight="1">
      <c r="A1008" s="8">
        <v>2704.0</v>
      </c>
      <c r="B1008" s="9"/>
      <c r="C1008" s="4"/>
      <c r="D1008" s="8"/>
      <c r="E1008" s="8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t="15.75" customHeight="1">
      <c r="A1009" s="8">
        <v>2705.0</v>
      </c>
      <c r="B1009" s="9"/>
      <c r="C1009" s="4"/>
      <c r="D1009" s="8"/>
      <c r="E1009" s="8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t="15.75" customHeight="1">
      <c r="A1010" s="8">
        <v>2706.0</v>
      </c>
      <c r="B1010" s="9"/>
      <c r="C1010" s="4"/>
      <c r="D1010" s="8"/>
      <c r="E1010" s="8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t="15.75" customHeight="1">
      <c r="A1011" s="8">
        <v>2707.0</v>
      </c>
      <c r="B1011" s="9"/>
      <c r="C1011" s="4"/>
      <c r="D1011" s="8"/>
      <c r="E1011" s="8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t="15.75" customHeight="1">
      <c r="A1012" s="8">
        <v>2708.0</v>
      </c>
      <c r="B1012" s="9"/>
      <c r="C1012" s="4"/>
      <c r="D1012" s="8"/>
      <c r="E1012" s="8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t="15.75" customHeight="1">
      <c r="A1013" s="8">
        <v>2709.0</v>
      </c>
      <c r="B1013" s="9"/>
      <c r="C1013" s="4"/>
      <c r="D1013" s="8"/>
      <c r="E1013" s="8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t="15.75" customHeight="1">
      <c r="A1014" s="8">
        <v>2710.0</v>
      </c>
      <c r="B1014" s="9"/>
      <c r="C1014" s="4"/>
      <c r="D1014" s="8"/>
      <c r="E1014" s="8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t="15.75" customHeight="1">
      <c r="A1015" s="8">
        <v>2711.0</v>
      </c>
      <c r="B1015" s="9"/>
      <c r="C1015" s="4"/>
      <c r="D1015" s="8"/>
      <c r="E1015" s="8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t="15.75" customHeight="1">
      <c r="A1016" s="8">
        <v>2712.0</v>
      </c>
      <c r="B1016" s="9"/>
      <c r="C1016" s="4"/>
      <c r="D1016" s="8"/>
      <c r="E1016" s="8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t="15.75" customHeight="1">
      <c r="A1017" s="8">
        <v>2713.0</v>
      </c>
      <c r="B1017" s="9"/>
      <c r="C1017" s="4"/>
      <c r="D1017" s="8"/>
      <c r="E1017" s="8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t="15.75" customHeight="1">
      <c r="A1018" s="8">
        <v>2714.0</v>
      </c>
      <c r="B1018" s="9"/>
      <c r="C1018" s="4"/>
      <c r="D1018" s="8"/>
      <c r="E1018" s="8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t="15.75" customHeight="1">
      <c r="A1019" s="8">
        <v>2715.0</v>
      </c>
      <c r="B1019" s="9"/>
      <c r="C1019" s="4"/>
      <c r="D1019" s="8"/>
      <c r="E1019" s="8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t="15.75" customHeight="1">
      <c r="A1020" s="8">
        <v>2716.0</v>
      </c>
      <c r="B1020" s="9"/>
      <c r="C1020" s="4"/>
      <c r="D1020" s="8"/>
      <c r="E1020" s="8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t="15.75" customHeight="1">
      <c r="A1021" s="8">
        <v>2717.0</v>
      </c>
      <c r="B1021" s="9"/>
      <c r="C1021" s="4"/>
      <c r="D1021" s="8"/>
      <c r="E1021" s="8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t="15.75" customHeight="1">
      <c r="A1022" s="8">
        <v>2718.0</v>
      </c>
      <c r="B1022" s="9"/>
      <c r="C1022" s="4"/>
      <c r="D1022" s="8"/>
      <c r="E1022" s="8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t="15.75" customHeight="1">
      <c r="A1023" s="8">
        <v>2719.0</v>
      </c>
      <c r="B1023" s="9"/>
      <c r="C1023" s="4"/>
      <c r="D1023" s="8"/>
      <c r="E1023" s="8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t="15.75" customHeight="1">
      <c r="A1024" s="8">
        <v>2720.0</v>
      </c>
      <c r="B1024" s="9"/>
      <c r="C1024" s="4"/>
      <c r="D1024" s="8"/>
      <c r="E1024" s="8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t="15.75" customHeight="1">
      <c r="A1025" s="8">
        <v>2721.0</v>
      </c>
      <c r="B1025" s="9"/>
      <c r="C1025" s="4"/>
      <c r="D1025" s="8"/>
      <c r="E1025" s="8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t="15.75" customHeight="1">
      <c r="A1026" s="8">
        <v>2722.0</v>
      </c>
      <c r="B1026" s="9"/>
      <c r="C1026" s="4"/>
      <c r="D1026" s="8"/>
      <c r="E1026" s="8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t="15.75" customHeight="1">
      <c r="A1027" s="8">
        <v>2723.0</v>
      </c>
      <c r="B1027" s="9"/>
      <c r="C1027" s="4"/>
      <c r="D1027" s="8"/>
      <c r="E1027" s="8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t="15.75" customHeight="1">
      <c r="A1028" s="8">
        <v>2724.0</v>
      </c>
      <c r="B1028" s="9"/>
      <c r="C1028" s="4"/>
      <c r="D1028" s="8"/>
      <c r="E1028" s="8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t="15.75" customHeight="1">
      <c r="A1029" s="8">
        <v>2725.0</v>
      </c>
      <c r="B1029" s="9"/>
      <c r="C1029" s="4"/>
      <c r="D1029" s="8"/>
      <c r="E1029" s="8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t="15.75" customHeight="1">
      <c r="A1030" s="8">
        <v>2726.0</v>
      </c>
      <c r="B1030" s="9"/>
      <c r="C1030" s="4"/>
      <c r="D1030" s="8"/>
      <c r="E1030" s="8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t="15.75" customHeight="1">
      <c r="A1031" s="8">
        <v>2727.0</v>
      </c>
      <c r="B1031" s="9"/>
      <c r="C1031" s="4"/>
      <c r="D1031" s="8"/>
      <c r="E1031" s="8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t="15.75" customHeight="1">
      <c r="A1032" s="8">
        <v>2728.0</v>
      </c>
      <c r="B1032" s="9"/>
      <c r="C1032" s="4"/>
      <c r="D1032" s="8"/>
      <c r="E1032" s="8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t="15.75" customHeight="1">
      <c r="A1033" s="8">
        <v>2729.0</v>
      </c>
      <c r="B1033" s="9"/>
      <c r="C1033" s="4"/>
      <c r="D1033" s="8"/>
      <c r="E1033" s="8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t="15.75" customHeight="1">
      <c r="A1034" s="8">
        <v>2730.0</v>
      </c>
      <c r="B1034" s="9"/>
      <c r="C1034" s="4"/>
      <c r="D1034" s="8"/>
      <c r="E1034" s="8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t="15.75" customHeight="1">
      <c r="A1035" s="8">
        <v>2731.0</v>
      </c>
      <c r="B1035" s="9"/>
      <c r="C1035" s="4"/>
      <c r="D1035" s="8"/>
      <c r="E1035" s="8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t="15.75" customHeight="1">
      <c r="A1036" s="8">
        <v>2732.0</v>
      </c>
      <c r="B1036" s="9"/>
      <c r="C1036" s="4"/>
      <c r="D1036" s="8"/>
      <c r="E1036" s="8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t="15.75" customHeight="1">
      <c r="A1037" s="8">
        <v>2733.0</v>
      </c>
      <c r="B1037" s="9"/>
      <c r="C1037" s="4"/>
      <c r="D1037" s="8"/>
      <c r="E1037" s="8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t="15.75" customHeight="1">
      <c r="A1038" s="8">
        <v>2734.0</v>
      </c>
      <c r="B1038" s="9"/>
      <c r="C1038" s="4"/>
      <c r="D1038" s="8"/>
      <c r="E1038" s="8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t="15.75" customHeight="1">
      <c r="A1039" s="8">
        <v>2735.0</v>
      </c>
      <c r="B1039" s="9"/>
      <c r="C1039" s="4"/>
      <c r="D1039" s="8"/>
      <c r="E1039" s="8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t="15.75" customHeight="1">
      <c r="A1040" s="8">
        <v>2736.0</v>
      </c>
      <c r="B1040" s="9"/>
      <c r="C1040" s="4"/>
      <c r="D1040" s="8"/>
      <c r="E1040" s="8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t="15.75" customHeight="1">
      <c r="A1041" s="8">
        <v>2737.0</v>
      </c>
      <c r="B1041" s="9"/>
      <c r="C1041" s="4"/>
      <c r="D1041" s="8"/>
      <c r="E1041" s="8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t="15.75" customHeight="1">
      <c r="A1042" s="8">
        <v>2738.0</v>
      </c>
      <c r="B1042" s="9"/>
      <c r="C1042" s="4"/>
      <c r="D1042" s="8"/>
      <c r="E1042" s="8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t="15.75" customHeight="1">
      <c r="A1043" s="8">
        <v>2739.0</v>
      </c>
      <c r="B1043" s="9"/>
      <c r="C1043" s="4"/>
      <c r="D1043" s="8"/>
      <c r="E1043" s="8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t="15.75" customHeight="1">
      <c r="A1044" s="8">
        <v>2740.0</v>
      </c>
      <c r="B1044" s="9"/>
      <c r="C1044" s="4"/>
      <c r="D1044" s="8"/>
      <c r="E1044" s="8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t="15.75" customHeight="1">
      <c r="A1045" s="8">
        <v>2741.0</v>
      </c>
      <c r="B1045" s="9"/>
      <c r="C1045" s="4"/>
      <c r="D1045" s="8"/>
      <c r="E1045" s="8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t="15.75" customHeight="1">
      <c r="A1046" s="8">
        <v>2742.0</v>
      </c>
      <c r="B1046" s="9"/>
      <c r="C1046" s="4"/>
      <c r="D1046" s="8"/>
      <c r="E1046" s="8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t="15.75" customHeight="1">
      <c r="A1047" s="8">
        <v>2743.0</v>
      </c>
      <c r="B1047" s="9"/>
      <c r="C1047" s="4"/>
      <c r="D1047" s="8"/>
      <c r="E1047" s="8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t="15.75" customHeight="1">
      <c r="A1048" s="8">
        <v>2744.0</v>
      </c>
      <c r="B1048" s="9"/>
      <c r="C1048" s="4"/>
      <c r="D1048" s="8"/>
      <c r="E1048" s="8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t="15.75" customHeight="1">
      <c r="A1049" s="8">
        <v>2745.0</v>
      </c>
      <c r="B1049" s="9"/>
      <c r="C1049" s="4"/>
      <c r="D1049" s="8"/>
      <c r="E1049" s="8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t="15.75" customHeight="1">
      <c r="A1050" s="8">
        <v>2746.0</v>
      </c>
      <c r="B1050" s="9"/>
      <c r="C1050" s="4"/>
      <c r="D1050" s="8"/>
      <c r="E1050" s="8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t="15.75" customHeight="1">
      <c r="A1051" s="8">
        <v>2747.0</v>
      </c>
      <c r="B1051" s="9"/>
      <c r="C1051" s="4"/>
      <c r="D1051" s="8"/>
      <c r="E1051" s="8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t="15.75" customHeight="1">
      <c r="A1052" s="8">
        <v>2748.0</v>
      </c>
      <c r="B1052" s="9"/>
      <c r="C1052" s="4"/>
      <c r="D1052" s="8"/>
      <c r="E1052" s="8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t="15.75" customHeight="1">
      <c r="A1053" s="8">
        <v>2749.0</v>
      </c>
      <c r="B1053" s="9"/>
      <c r="C1053" s="4"/>
      <c r="D1053" s="8"/>
      <c r="E1053" s="8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t="15.75" customHeight="1">
      <c r="A1054" s="8">
        <v>2750.0</v>
      </c>
      <c r="B1054" s="9"/>
      <c r="C1054" s="4"/>
      <c r="D1054" s="8"/>
      <c r="E1054" s="8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t="15.75" customHeight="1">
      <c r="A1055" s="8">
        <v>2751.0</v>
      </c>
      <c r="B1055" s="9"/>
      <c r="C1055" s="4"/>
      <c r="D1055" s="8"/>
      <c r="E1055" s="8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t="15.75" customHeight="1">
      <c r="A1056" s="8">
        <v>2752.0</v>
      </c>
      <c r="B1056" s="9"/>
      <c r="C1056" s="4"/>
      <c r="D1056" s="8"/>
      <c r="E1056" s="8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t="15.75" customHeight="1">
      <c r="A1057" s="8">
        <v>2753.0</v>
      </c>
      <c r="B1057" s="9"/>
      <c r="C1057" s="4"/>
      <c r="D1057" s="8"/>
      <c r="E1057" s="8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t="15.75" customHeight="1">
      <c r="A1058" s="8">
        <v>2754.0</v>
      </c>
      <c r="B1058" s="9"/>
      <c r="C1058" s="4"/>
      <c r="D1058" s="8"/>
      <c r="E1058" s="8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t="15.75" customHeight="1">
      <c r="A1059" s="8">
        <v>2755.0</v>
      </c>
      <c r="B1059" s="9"/>
      <c r="C1059" s="4"/>
      <c r="D1059" s="8"/>
      <c r="E1059" s="8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t="15.75" customHeight="1">
      <c r="A1060" s="8">
        <v>2756.0</v>
      </c>
      <c r="B1060" s="9"/>
      <c r="C1060" s="4"/>
      <c r="D1060" s="8"/>
      <c r="E1060" s="8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t="15.75" customHeight="1">
      <c r="A1061" s="8">
        <v>2757.0</v>
      </c>
      <c r="B1061" s="9"/>
      <c r="C1061" s="4"/>
      <c r="D1061" s="8"/>
      <c r="E1061" s="8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t="15.75" customHeight="1">
      <c r="A1062" s="8">
        <v>2758.0</v>
      </c>
      <c r="B1062" s="9"/>
      <c r="C1062" s="4"/>
      <c r="D1062" s="8"/>
      <c r="E1062" s="8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t="15.75" customHeight="1">
      <c r="A1063" s="8">
        <v>2759.0</v>
      </c>
      <c r="B1063" s="9"/>
      <c r="C1063" s="4"/>
      <c r="D1063" s="8"/>
      <c r="E1063" s="8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t="15.75" customHeight="1">
      <c r="A1064" s="8">
        <v>2760.0</v>
      </c>
      <c r="B1064" s="9"/>
      <c r="C1064" s="4"/>
      <c r="D1064" s="8"/>
      <c r="E1064" s="8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t="15.75" customHeight="1">
      <c r="A1065" s="8">
        <v>2761.0</v>
      </c>
      <c r="B1065" s="9"/>
      <c r="C1065" s="4"/>
      <c r="D1065" s="8"/>
      <c r="E1065" s="8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t="15.75" customHeight="1">
      <c r="A1066" s="8">
        <v>2762.0</v>
      </c>
      <c r="B1066" s="9"/>
      <c r="C1066" s="4"/>
      <c r="D1066" s="8"/>
      <c r="E1066" s="8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t="15.75" customHeight="1">
      <c r="A1067" s="8">
        <v>2763.0</v>
      </c>
      <c r="B1067" s="9"/>
      <c r="C1067" s="4"/>
      <c r="D1067" s="8"/>
      <c r="E1067" s="8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t="15.75" customHeight="1">
      <c r="A1068" s="8">
        <v>2764.0</v>
      </c>
      <c r="B1068" s="9"/>
      <c r="C1068" s="4"/>
      <c r="D1068" s="8"/>
      <c r="E1068" s="8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t="15.75" customHeight="1">
      <c r="A1069" s="8">
        <v>2765.0</v>
      </c>
      <c r="B1069" s="9"/>
      <c r="C1069" s="4"/>
      <c r="D1069" s="8"/>
      <c r="E1069" s="8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t="15.75" customHeight="1">
      <c r="A1070" s="8">
        <v>2766.0</v>
      </c>
      <c r="B1070" s="9"/>
      <c r="C1070" s="4"/>
      <c r="D1070" s="8"/>
      <c r="E1070" s="8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t="15.75" customHeight="1">
      <c r="A1071" s="8">
        <v>2767.0</v>
      </c>
      <c r="B1071" s="9"/>
      <c r="C1071" s="4"/>
      <c r="D1071" s="8"/>
      <c r="E1071" s="8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t="15.75" customHeight="1">
      <c r="A1072" s="8">
        <v>2768.0</v>
      </c>
      <c r="B1072" s="9"/>
      <c r="C1072" s="4"/>
      <c r="D1072" s="8"/>
      <c r="E1072" s="8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t="15.75" customHeight="1">
      <c r="A1073" s="8">
        <v>2769.0</v>
      </c>
      <c r="B1073" s="9"/>
      <c r="C1073" s="4"/>
      <c r="D1073" s="8"/>
      <c r="E1073" s="8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t="15.75" customHeight="1">
      <c r="A1074" s="8">
        <v>2770.0</v>
      </c>
      <c r="B1074" s="9"/>
      <c r="C1074" s="4"/>
      <c r="D1074" s="8"/>
      <c r="E1074" s="8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t="15.75" customHeight="1">
      <c r="A1075" s="8">
        <v>2771.0</v>
      </c>
      <c r="B1075" s="9"/>
      <c r="C1075" s="4"/>
      <c r="D1075" s="8"/>
      <c r="E1075" s="8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t="15.75" customHeight="1">
      <c r="A1076" s="8">
        <v>2772.0</v>
      </c>
      <c r="B1076" s="9"/>
      <c r="C1076" s="4"/>
      <c r="D1076" s="8"/>
      <c r="E1076" s="8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t="15.75" customHeight="1">
      <c r="A1077" s="8">
        <v>2773.0</v>
      </c>
      <c r="B1077" s="9"/>
      <c r="C1077" s="4"/>
      <c r="D1077" s="8"/>
      <c r="E1077" s="8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t="15.75" customHeight="1">
      <c r="A1078" s="8">
        <v>2774.0</v>
      </c>
      <c r="B1078" s="9"/>
      <c r="C1078" s="4"/>
      <c r="D1078" s="8"/>
      <c r="E1078" s="8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t="15.75" customHeight="1">
      <c r="A1079" s="8">
        <v>2775.0</v>
      </c>
      <c r="B1079" s="9"/>
      <c r="C1079" s="4"/>
      <c r="D1079" s="8"/>
      <c r="E1079" s="8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t="15.75" customHeight="1">
      <c r="A1080" s="8">
        <v>2776.0</v>
      </c>
      <c r="B1080" s="9"/>
      <c r="C1080" s="4"/>
      <c r="D1080" s="8"/>
      <c r="E1080" s="8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t="15.75" customHeight="1">
      <c r="A1081" s="8">
        <v>2777.0</v>
      </c>
      <c r="B1081" s="9"/>
      <c r="C1081" s="4"/>
      <c r="D1081" s="8"/>
      <c r="E1081" s="8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t="15.75" customHeight="1">
      <c r="A1082" s="8">
        <v>2778.0</v>
      </c>
      <c r="B1082" s="9"/>
      <c r="C1082" s="4"/>
      <c r="D1082" s="8"/>
      <c r="E1082" s="8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t="15.75" customHeight="1">
      <c r="A1083" s="8">
        <v>2779.0</v>
      </c>
      <c r="B1083" s="9"/>
      <c r="C1083" s="4"/>
      <c r="D1083" s="8"/>
      <c r="E1083" s="8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t="15.75" customHeight="1">
      <c r="A1084" s="8">
        <v>2780.0</v>
      </c>
      <c r="B1084" s="9"/>
      <c r="C1084" s="4"/>
      <c r="D1084" s="8"/>
      <c r="E1084" s="8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t="15.75" customHeight="1">
      <c r="A1085" s="8">
        <v>2781.0</v>
      </c>
      <c r="B1085" s="9"/>
      <c r="C1085" s="4"/>
      <c r="D1085" s="8"/>
      <c r="E1085" s="8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t="15.75" customHeight="1">
      <c r="A1086" s="8">
        <v>2782.0</v>
      </c>
      <c r="B1086" s="9"/>
      <c r="C1086" s="4"/>
      <c r="D1086" s="8"/>
      <c r="E1086" s="8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t="15.75" customHeight="1">
      <c r="A1087" s="8">
        <v>2783.0</v>
      </c>
      <c r="B1087" s="9"/>
      <c r="C1087" s="4"/>
      <c r="D1087" s="8"/>
      <c r="E1087" s="8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t="15.75" customHeight="1">
      <c r="A1088" s="8">
        <v>2784.0</v>
      </c>
      <c r="B1088" s="9"/>
      <c r="C1088" s="4"/>
      <c r="D1088" s="8"/>
      <c r="E1088" s="8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t="15.75" customHeight="1">
      <c r="A1089" s="8">
        <v>2785.0</v>
      </c>
      <c r="B1089" s="9"/>
      <c r="C1089" s="4"/>
      <c r="D1089" s="8"/>
      <c r="E1089" s="8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t="15.75" customHeight="1">
      <c r="A1090" s="8">
        <v>2786.0</v>
      </c>
      <c r="B1090" s="9"/>
      <c r="C1090" s="4"/>
      <c r="D1090" s="8"/>
      <c r="E1090" s="8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t="15.75" customHeight="1">
      <c r="A1091" s="8">
        <v>2787.0</v>
      </c>
      <c r="B1091" s="9"/>
      <c r="C1091" s="4"/>
      <c r="D1091" s="8"/>
      <c r="E1091" s="8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t="15.75" customHeight="1">
      <c r="A1092" s="8">
        <v>2788.0</v>
      </c>
      <c r="B1092" s="9"/>
      <c r="C1092" s="4"/>
      <c r="D1092" s="8"/>
      <c r="E1092" s="8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t="15.75" customHeight="1">
      <c r="A1093" s="8">
        <v>2789.0</v>
      </c>
      <c r="B1093" s="9"/>
      <c r="C1093" s="4"/>
      <c r="D1093" s="8"/>
      <c r="E1093" s="8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t="15.75" customHeight="1">
      <c r="A1094" s="8">
        <v>2790.0</v>
      </c>
      <c r="B1094" s="9"/>
      <c r="C1094" s="4"/>
      <c r="D1094" s="8"/>
      <c r="E1094" s="8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t="15.75" customHeight="1">
      <c r="A1095" s="8">
        <v>2791.0</v>
      </c>
      <c r="B1095" s="9"/>
      <c r="C1095" s="4"/>
      <c r="D1095" s="8"/>
      <c r="E1095" s="8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t="15.75" customHeight="1">
      <c r="A1096" s="8">
        <v>2792.0</v>
      </c>
      <c r="B1096" s="9"/>
      <c r="C1096" s="4"/>
      <c r="D1096" s="8"/>
      <c r="E1096" s="8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t="15.75" customHeight="1">
      <c r="A1097" s="8">
        <v>2793.0</v>
      </c>
      <c r="B1097" s="9"/>
      <c r="C1097" s="4"/>
      <c r="D1097" s="8"/>
      <c r="E1097" s="8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t="15.75" customHeight="1">
      <c r="A1098" s="8">
        <v>2794.0</v>
      </c>
      <c r="B1098" s="9"/>
      <c r="C1098" s="4"/>
      <c r="D1098" s="8"/>
      <c r="E1098" s="8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t="15.75" customHeight="1">
      <c r="A1099" s="8">
        <v>2795.0</v>
      </c>
      <c r="B1099" s="9"/>
      <c r="C1099" s="4"/>
      <c r="D1099" s="8"/>
      <c r="E1099" s="8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t="15.75" customHeight="1">
      <c r="A1100" s="8">
        <v>2796.0</v>
      </c>
      <c r="B1100" s="9"/>
      <c r="C1100" s="4"/>
      <c r="D1100" s="8"/>
      <c r="E1100" s="8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t="15.75" customHeight="1">
      <c r="A1101" s="8">
        <v>2797.0</v>
      </c>
      <c r="B1101" s="9"/>
      <c r="C1101" s="4"/>
      <c r="D1101" s="8"/>
      <c r="E1101" s="8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t="15.75" customHeight="1">
      <c r="A1102" s="8">
        <v>2798.0</v>
      </c>
      <c r="B1102" s="9"/>
      <c r="C1102" s="4"/>
      <c r="D1102" s="8"/>
      <c r="E1102" s="8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t="15.75" customHeight="1">
      <c r="A1103" s="8">
        <v>2799.0</v>
      </c>
      <c r="B1103" s="9"/>
      <c r="C1103" s="4"/>
      <c r="D1103" s="8"/>
      <c r="E1103" s="8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t="15.75" customHeight="1">
      <c r="A1104" s="8">
        <v>2800.0</v>
      </c>
      <c r="B1104" s="9"/>
      <c r="C1104" s="4"/>
      <c r="D1104" s="8"/>
      <c r="E1104" s="8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t="15.75" customHeight="1">
      <c r="A1105" s="8">
        <v>2801.0</v>
      </c>
      <c r="B1105" s="9"/>
      <c r="C1105" s="4"/>
      <c r="D1105" s="8"/>
      <c r="E1105" s="8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t="15.75" customHeight="1">
      <c r="A1106" s="8">
        <v>2802.0</v>
      </c>
      <c r="B1106" s="9"/>
      <c r="C1106" s="4"/>
      <c r="D1106" s="8"/>
      <c r="E1106" s="8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t="15.75" customHeight="1">
      <c r="A1107" s="8">
        <v>2803.0</v>
      </c>
      <c r="B1107" s="9"/>
      <c r="C1107" s="4"/>
      <c r="D1107" s="8"/>
      <c r="E1107" s="8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t="15.75" customHeight="1">
      <c r="A1108" s="8">
        <v>2804.0</v>
      </c>
      <c r="B1108" s="9"/>
      <c r="C1108" s="4"/>
      <c r="D1108" s="8"/>
      <c r="E1108" s="8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t="15.75" customHeight="1">
      <c r="A1109" s="8">
        <v>2805.0</v>
      </c>
      <c r="B1109" s="9"/>
      <c r="C1109" s="4"/>
      <c r="D1109" s="8"/>
      <c r="E1109" s="8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t="15.75" customHeight="1">
      <c r="A1110" s="8">
        <v>2806.0</v>
      </c>
      <c r="B1110" s="9"/>
      <c r="C1110" s="4"/>
      <c r="D1110" s="8"/>
      <c r="E1110" s="8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t="15.75" customHeight="1">
      <c r="A1111" s="8">
        <v>2807.0</v>
      </c>
      <c r="B1111" s="9"/>
      <c r="C1111" s="4"/>
      <c r="D1111" s="8"/>
      <c r="E1111" s="8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t="15.75" customHeight="1">
      <c r="A1112" s="8">
        <v>2808.0</v>
      </c>
      <c r="B1112" s="9"/>
      <c r="C1112" s="4"/>
      <c r="D1112" s="8"/>
      <c r="E1112" s="8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t="15.75" customHeight="1">
      <c r="A1113" s="8">
        <v>2809.0</v>
      </c>
      <c r="B1113" s="9"/>
      <c r="C1113" s="4"/>
      <c r="D1113" s="8"/>
      <c r="E1113" s="8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t="15.75" customHeight="1">
      <c r="A1114" s="8">
        <v>2810.0</v>
      </c>
      <c r="B1114" s="9"/>
      <c r="C1114" s="4"/>
      <c r="D1114" s="8"/>
      <c r="E1114" s="8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t="15.75" customHeight="1">
      <c r="A1115" s="8">
        <v>2811.0</v>
      </c>
      <c r="B1115" s="9"/>
      <c r="C1115" s="4"/>
      <c r="D1115" s="8"/>
      <c r="E1115" s="8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t="15.75" customHeight="1">
      <c r="A1116" s="8">
        <v>2812.0</v>
      </c>
      <c r="B1116" s="9"/>
      <c r="C1116" s="4"/>
      <c r="D1116" s="8"/>
      <c r="E1116" s="8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t="15.75" customHeight="1">
      <c r="A1117" s="8">
        <v>2813.0</v>
      </c>
      <c r="B1117" s="9"/>
      <c r="C1117" s="4"/>
      <c r="D1117" s="8"/>
      <c r="E1117" s="8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t="15.75" customHeight="1">
      <c r="A1118" s="8">
        <v>2814.0</v>
      </c>
      <c r="B1118" s="9"/>
      <c r="C1118" s="4"/>
      <c r="D1118" s="8"/>
      <c r="E1118" s="8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t="15.75" customHeight="1">
      <c r="A1119" s="8">
        <v>2815.0</v>
      </c>
      <c r="B1119" s="9"/>
      <c r="C1119" s="4"/>
      <c r="D1119" s="8"/>
      <c r="E1119" s="8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t="15.75" customHeight="1">
      <c r="A1120" s="8">
        <v>2816.0</v>
      </c>
      <c r="B1120" s="9"/>
      <c r="C1120" s="4"/>
      <c r="D1120" s="8"/>
      <c r="E1120" s="8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t="15.75" customHeight="1">
      <c r="A1121" s="8">
        <v>2817.0</v>
      </c>
      <c r="B1121" s="9"/>
      <c r="C1121" s="4"/>
      <c r="D1121" s="8"/>
      <c r="E1121" s="8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t="15.75" customHeight="1">
      <c r="A1122" s="8">
        <v>2818.0</v>
      </c>
      <c r="B1122" s="9"/>
      <c r="C1122" s="4"/>
      <c r="D1122" s="8"/>
      <c r="E1122" s="8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t="15.75" customHeight="1">
      <c r="A1123" s="8">
        <v>2819.0</v>
      </c>
      <c r="B1123" s="9"/>
      <c r="C1123" s="4"/>
      <c r="D1123" s="8"/>
      <c r="E1123" s="8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t="15.75" customHeight="1">
      <c r="A1124" s="8">
        <v>2820.0</v>
      </c>
      <c r="B1124" s="9"/>
      <c r="C1124" s="4"/>
      <c r="D1124" s="8"/>
      <c r="E1124" s="8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t="15.75" customHeight="1">
      <c r="A1125" s="8">
        <v>2821.0</v>
      </c>
      <c r="B1125" s="9"/>
      <c r="C1125" s="4"/>
      <c r="D1125" s="8"/>
      <c r="E1125" s="8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t="15.75" customHeight="1">
      <c r="A1126" s="8">
        <v>2822.0</v>
      </c>
      <c r="B1126" s="9"/>
      <c r="C1126" s="4"/>
      <c r="D1126" s="8"/>
      <c r="E1126" s="8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t="15.75" customHeight="1">
      <c r="A1127" s="8">
        <v>2823.0</v>
      </c>
      <c r="B1127" s="9"/>
      <c r="C1127" s="4"/>
      <c r="D1127" s="8"/>
      <c r="E1127" s="8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t="15.75" customHeight="1">
      <c r="A1128" s="8">
        <v>2824.0</v>
      </c>
      <c r="B1128" s="9"/>
      <c r="C1128" s="4"/>
      <c r="D1128" s="8"/>
      <c r="E1128" s="8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t="15.75" customHeight="1">
      <c r="A1129" s="8">
        <v>2825.0</v>
      </c>
      <c r="B1129" s="9"/>
      <c r="C1129" s="4"/>
      <c r="D1129" s="8"/>
      <c r="E1129" s="8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t="15.75" customHeight="1">
      <c r="A1130" s="8">
        <v>2826.0</v>
      </c>
      <c r="B1130" s="9"/>
      <c r="C1130" s="4"/>
      <c r="D1130" s="8"/>
      <c r="E1130" s="8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t="15.75" customHeight="1">
      <c r="A1131" s="8">
        <v>2827.0</v>
      </c>
      <c r="B1131" s="9"/>
      <c r="C1131" s="4"/>
      <c r="D1131" s="8"/>
      <c r="E1131" s="8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t="15.75" customHeight="1">
      <c r="A1132" s="8">
        <v>2828.0</v>
      </c>
      <c r="B1132" s="9"/>
      <c r="C1132" s="4"/>
      <c r="D1132" s="8"/>
      <c r="E1132" s="8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t="15.75" customHeight="1">
      <c r="A1133" s="8">
        <v>2829.0</v>
      </c>
      <c r="B1133" s="9"/>
      <c r="C1133" s="4"/>
      <c r="D1133" s="8"/>
      <c r="E1133" s="8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t="15.75" customHeight="1">
      <c r="A1134" s="8">
        <v>2830.0</v>
      </c>
      <c r="B1134" s="9"/>
      <c r="C1134" s="4"/>
      <c r="D1134" s="8"/>
      <c r="E1134" s="8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t="15.75" customHeight="1">
      <c r="A1135" s="8">
        <v>2831.0</v>
      </c>
      <c r="B1135" s="9"/>
      <c r="C1135" s="4"/>
      <c r="D1135" s="8"/>
      <c r="E1135" s="8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t="15.75" customHeight="1">
      <c r="A1136" s="8">
        <v>2832.0</v>
      </c>
      <c r="B1136" s="9"/>
      <c r="C1136" s="4"/>
      <c r="D1136" s="8"/>
      <c r="E1136" s="8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t="15.75" customHeight="1">
      <c r="A1137" s="8">
        <v>2833.0</v>
      </c>
      <c r="B1137" s="9"/>
      <c r="C1137" s="4"/>
      <c r="D1137" s="8"/>
      <c r="E1137" s="8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t="15.75" customHeight="1">
      <c r="A1138" s="8">
        <v>2834.0</v>
      </c>
      <c r="B1138" s="9"/>
      <c r="C1138" s="4"/>
      <c r="D1138" s="8"/>
      <c r="E1138" s="8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t="15.75" customHeight="1">
      <c r="A1139" s="8">
        <v>2835.0</v>
      </c>
      <c r="B1139" s="9"/>
      <c r="C1139" s="4"/>
      <c r="D1139" s="8"/>
      <c r="E1139" s="8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t="15.75" customHeight="1">
      <c r="A1140" s="8">
        <v>2836.0</v>
      </c>
      <c r="B1140" s="9"/>
      <c r="C1140" s="4"/>
      <c r="D1140" s="8"/>
      <c r="E1140" s="8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t="15.75" customHeight="1">
      <c r="A1141" s="8">
        <v>2837.0</v>
      </c>
      <c r="B1141" s="9"/>
      <c r="C1141" s="4"/>
      <c r="D1141" s="8"/>
      <c r="E1141" s="8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t="15.75" customHeight="1">
      <c r="A1142" s="8">
        <v>2838.0</v>
      </c>
      <c r="B1142" s="9"/>
      <c r="C1142" s="4"/>
      <c r="D1142" s="8"/>
      <c r="E1142" s="8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t="15.75" customHeight="1">
      <c r="A1143" s="8">
        <v>2839.0</v>
      </c>
      <c r="B1143" s="9"/>
      <c r="C1143" s="4"/>
      <c r="D1143" s="8"/>
      <c r="E1143" s="8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t="15.75" customHeight="1">
      <c r="A1144" s="8">
        <v>2840.0</v>
      </c>
      <c r="B1144" s="9"/>
      <c r="C1144" s="4"/>
      <c r="D1144" s="8"/>
      <c r="E1144" s="8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t="15.75" customHeight="1">
      <c r="A1145" s="8">
        <v>2841.0</v>
      </c>
      <c r="B1145" s="9"/>
      <c r="C1145" s="4"/>
      <c r="D1145" s="8"/>
      <c r="E1145" s="8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t="15.75" customHeight="1">
      <c r="A1146" s="8">
        <v>2842.0</v>
      </c>
      <c r="B1146" s="9"/>
      <c r="C1146" s="4"/>
      <c r="D1146" s="8"/>
      <c r="E1146" s="8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t="15.75" customHeight="1">
      <c r="A1147" s="8">
        <v>2843.0</v>
      </c>
      <c r="B1147" s="9"/>
      <c r="C1147" s="4"/>
      <c r="D1147" s="8"/>
      <c r="E1147" s="8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t="15.75" customHeight="1">
      <c r="A1148" s="8">
        <v>2844.0</v>
      </c>
      <c r="B1148" s="9"/>
      <c r="C1148" s="4"/>
      <c r="D1148" s="8"/>
      <c r="E1148" s="8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t="15.75" customHeight="1">
      <c r="A1149" s="8">
        <v>2845.0</v>
      </c>
      <c r="B1149" s="9"/>
      <c r="C1149" s="4"/>
      <c r="D1149" s="8"/>
      <c r="E1149" s="8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t="15.75" customHeight="1">
      <c r="A1150" s="8">
        <v>2846.0</v>
      </c>
      <c r="B1150" s="9"/>
      <c r="C1150" s="4"/>
      <c r="D1150" s="8"/>
      <c r="E1150" s="8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t="15.75" customHeight="1">
      <c r="A1151" s="8">
        <v>2847.0</v>
      </c>
      <c r="B1151" s="9"/>
      <c r="C1151" s="4"/>
      <c r="D1151" s="8"/>
      <c r="E1151" s="8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t="15.75" customHeight="1">
      <c r="A1152" s="8">
        <v>2848.0</v>
      </c>
      <c r="B1152" s="9"/>
      <c r="C1152" s="4"/>
      <c r="D1152" s="8"/>
      <c r="E1152" s="8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t="15.75" customHeight="1">
      <c r="A1153" s="8">
        <v>2849.0</v>
      </c>
      <c r="B1153" s="9"/>
      <c r="C1153" s="4"/>
      <c r="D1153" s="8"/>
      <c r="E1153" s="8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t="15.75" customHeight="1">
      <c r="A1154" s="8">
        <v>2850.0</v>
      </c>
      <c r="B1154" s="9"/>
      <c r="C1154" s="4"/>
      <c r="D1154" s="8"/>
      <c r="E1154" s="8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t="15.75" customHeight="1">
      <c r="A1155" s="8">
        <v>2851.0</v>
      </c>
      <c r="B1155" s="9"/>
      <c r="C1155" s="4"/>
      <c r="D1155" s="8"/>
      <c r="E1155" s="8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t="15.75" customHeight="1">
      <c r="A1156" s="8">
        <v>2852.0</v>
      </c>
      <c r="B1156" s="9"/>
      <c r="C1156" s="4"/>
      <c r="D1156" s="8"/>
      <c r="E1156" s="8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t="15.75" customHeight="1">
      <c r="A1157" s="8">
        <v>2853.0</v>
      </c>
      <c r="B1157" s="9"/>
      <c r="C1157" s="4"/>
      <c r="D1157" s="8"/>
      <c r="E1157" s="8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t="15.75" customHeight="1">
      <c r="A1158" s="8">
        <v>2854.0</v>
      </c>
      <c r="B1158" s="9"/>
      <c r="C1158" s="4"/>
      <c r="D1158" s="8"/>
      <c r="E1158" s="8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t="15.75" customHeight="1">
      <c r="A1159" s="8">
        <v>2855.0</v>
      </c>
      <c r="B1159" s="9"/>
      <c r="C1159" s="4"/>
      <c r="D1159" s="8"/>
      <c r="E1159" s="8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t="15.75" customHeight="1">
      <c r="A1160" s="8">
        <v>2856.0</v>
      </c>
      <c r="B1160" s="9"/>
      <c r="C1160" s="4"/>
      <c r="D1160" s="8"/>
      <c r="E1160" s="8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t="15.75" customHeight="1">
      <c r="A1161" s="8">
        <v>2857.0</v>
      </c>
      <c r="B1161" s="9"/>
      <c r="C1161" s="4"/>
      <c r="D1161" s="8"/>
      <c r="E1161" s="8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t="15.75" customHeight="1">
      <c r="A1162" s="8">
        <v>2858.0</v>
      </c>
      <c r="B1162" s="9"/>
      <c r="C1162" s="4"/>
      <c r="D1162" s="8"/>
      <c r="E1162" s="8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t="15.75" customHeight="1">
      <c r="A1163" s="8">
        <v>2859.0</v>
      </c>
      <c r="B1163" s="9"/>
      <c r="C1163" s="4"/>
      <c r="D1163" s="8"/>
      <c r="E1163" s="8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t="15.75" customHeight="1">
      <c r="A1164" s="8">
        <v>2860.0</v>
      </c>
      <c r="B1164" s="9"/>
      <c r="C1164" s="4"/>
      <c r="D1164" s="8"/>
      <c r="E1164" s="8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ht="15.75" customHeight="1">
      <c r="A1165" s="8">
        <v>2861.0</v>
      </c>
      <c r="B1165" s="9"/>
      <c r="C1165" s="4"/>
      <c r="D1165" s="8"/>
      <c r="E1165" s="8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ht="15.75" customHeight="1">
      <c r="A1166" s="8">
        <v>2862.0</v>
      </c>
      <c r="B1166" s="9"/>
      <c r="C1166" s="4"/>
      <c r="D1166" s="8"/>
      <c r="E1166" s="8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ht="15.75" customHeight="1">
      <c r="A1167" s="8">
        <v>2863.0</v>
      </c>
      <c r="B1167" s="9"/>
      <c r="C1167" s="4"/>
      <c r="D1167" s="8"/>
      <c r="E1167" s="8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ht="15.75" customHeight="1">
      <c r="A1168" s="8">
        <v>2864.0</v>
      </c>
      <c r="B1168" s="9"/>
      <c r="C1168" s="4"/>
      <c r="D1168" s="8"/>
      <c r="E1168" s="8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ht="15.75" customHeight="1">
      <c r="A1169" s="8">
        <v>2865.0</v>
      </c>
      <c r="B1169" s="9"/>
      <c r="C1169" s="4"/>
      <c r="D1169" s="8"/>
      <c r="E1169" s="8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ht="15.75" customHeight="1">
      <c r="A1170" s="8">
        <v>2866.0</v>
      </c>
      <c r="B1170" s="9"/>
      <c r="C1170" s="4"/>
      <c r="D1170" s="8"/>
      <c r="E1170" s="8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ht="15.75" customHeight="1">
      <c r="A1171" s="8">
        <v>2867.0</v>
      </c>
      <c r="B1171" s="9"/>
      <c r="C1171" s="4"/>
      <c r="D1171" s="8"/>
      <c r="E1171" s="8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ht="15.75" customHeight="1">
      <c r="A1172" s="8">
        <v>2868.0</v>
      </c>
      <c r="B1172" s="9"/>
      <c r="C1172" s="4"/>
      <c r="D1172" s="8"/>
      <c r="E1172" s="8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ht="15.75" customHeight="1">
      <c r="A1173" s="8">
        <v>2869.0</v>
      </c>
      <c r="B1173" s="9"/>
      <c r="C1173" s="4"/>
      <c r="D1173" s="8"/>
      <c r="E1173" s="8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ht="15.75" customHeight="1">
      <c r="A1174" s="8">
        <v>2870.0</v>
      </c>
      <c r="B1174" s="9"/>
      <c r="C1174" s="4"/>
      <c r="D1174" s="8"/>
      <c r="E1174" s="8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ht="15.75" customHeight="1">
      <c r="A1175" s="8">
        <v>2871.0</v>
      </c>
      <c r="B1175" s="9"/>
      <c r="C1175" s="4"/>
      <c r="D1175" s="8"/>
      <c r="E1175" s="8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ht="15.75" customHeight="1">
      <c r="A1176" s="8">
        <v>2872.0</v>
      </c>
      <c r="B1176" s="9"/>
      <c r="C1176" s="4"/>
      <c r="D1176" s="8"/>
      <c r="E1176" s="8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ht="15.75" customHeight="1">
      <c r="A1177" s="8">
        <v>2873.0</v>
      </c>
      <c r="B1177" s="9"/>
      <c r="C1177" s="4"/>
      <c r="D1177" s="8"/>
      <c r="E1177" s="8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ht="15.75" customHeight="1">
      <c r="A1178" s="8">
        <v>2874.0</v>
      </c>
      <c r="B1178" s="9"/>
      <c r="C1178" s="4"/>
      <c r="D1178" s="8"/>
      <c r="E1178" s="8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ht="15.75" customHeight="1">
      <c r="A1179" s="8">
        <v>2875.0</v>
      </c>
      <c r="B1179" s="9"/>
      <c r="C1179" s="4"/>
      <c r="D1179" s="8"/>
      <c r="E1179" s="8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ht="15.75" customHeight="1">
      <c r="A1180" s="8">
        <v>2876.0</v>
      </c>
      <c r="B1180" s="9"/>
      <c r="C1180" s="4"/>
      <c r="D1180" s="8"/>
      <c r="E1180" s="8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ht="15.75" customHeight="1">
      <c r="A1181" s="8">
        <v>2877.0</v>
      </c>
      <c r="B1181" s="9"/>
      <c r="C1181" s="4"/>
      <c r="D1181" s="8"/>
      <c r="E1181" s="8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ht="15.75" customHeight="1">
      <c r="A1182" s="8">
        <v>2878.0</v>
      </c>
      <c r="B1182" s="9"/>
      <c r="C1182" s="4"/>
      <c r="D1182" s="8"/>
      <c r="E1182" s="8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ht="15.75" customHeight="1">
      <c r="A1183" s="8">
        <v>2879.0</v>
      </c>
      <c r="B1183" s="9"/>
      <c r="C1183" s="4"/>
      <c r="D1183" s="8"/>
      <c r="E1183" s="8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ht="15.75" customHeight="1">
      <c r="A1184" s="8">
        <v>2880.0</v>
      </c>
      <c r="B1184" s="9"/>
      <c r="C1184" s="4"/>
      <c r="D1184" s="8"/>
      <c r="E1184" s="8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ht="15.75" customHeight="1">
      <c r="A1185" s="8">
        <v>2881.0</v>
      </c>
      <c r="B1185" s="9"/>
      <c r="C1185" s="4"/>
      <c r="D1185" s="8"/>
      <c r="E1185" s="8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ht="15.75" customHeight="1">
      <c r="A1186" s="8">
        <v>2882.0</v>
      </c>
      <c r="B1186" s="9"/>
      <c r="C1186" s="4"/>
      <c r="D1186" s="8"/>
      <c r="E1186" s="8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ht="15.75" customHeight="1">
      <c r="A1187" s="8">
        <v>2883.0</v>
      </c>
      <c r="B1187" s="9"/>
      <c r="C1187" s="4"/>
      <c r="D1187" s="8"/>
      <c r="E1187" s="8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ht="15.75" customHeight="1">
      <c r="A1188" s="8">
        <v>2884.0</v>
      </c>
      <c r="B1188" s="9"/>
      <c r="C1188" s="4"/>
      <c r="D1188" s="8"/>
      <c r="E1188" s="8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ht="15.75" customHeight="1">
      <c r="A1189" s="8">
        <v>2885.0</v>
      </c>
      <c r="B1189" s="9"/>
      <c r="C1189" s="4"/>
      <c r="D1189" s="8"/>
      <c r="E1189" s="8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ht="15.75" customHeight="1">
      <c r="A1190" s="8">
        <v>2886.0</v>
      </c>
      <c r="B1190" s="9"/>
      <c r="C1190" s="4"/>
      <c r="D1190" s="8"/>
      <c r="E1190" s="8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ht="15.75" customHeight="1">
      <c r="A1191" s="8">
        <v>2887.0</v>
      </c>
      <c r="B1191" s="9"/>
      <c r="C1191" s="4"/>
      <c r="D1191" s="8"/>
      <c r="E1191" s="8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ht="15.75" customHeight="1">
      <c r="A1192" s="8">
        <v>2888.0</v>
      </c>
      <c r="B1192" s="9"/>
      <c r="C1192" s="4"/>
      <c r="D1192" s="8"/>
      <c r="E1192" s="8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ht="15.75" customHeight="1">
      <c r="A1193" s="8">
        <v>2889.0</v>
      </c>
      <c r="B1193" s="9"/>
      <c r="C1193" s="4"/>
      <c r="D1193" s="8"/>
      <c r="E1193" s="8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ht="15.75" customHeight="1">
      <c r="A1194" s="8">
        <v>2890.0</v>
      </c>
      <c r="B1194" s="9"/>
      <c r="C1194" s="4"/>
      <c r="D1194" s="8"/>
      <c r="E1194" s="8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ht="15.75" customHeight="1">
      <c r="A1195" s="8">
        <v>2891.0</v>
      </c>
      <c r="B1195" s="9"/>
      <c r="C1195" s="4"/>
      <c r="D1195" s="8"/>
      <c r="E1195" s="8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ht="15.75" customHeight="1">
      <c r="A1196" s="8">
        <v>2892.0</v>
      </c>
      <c r="B1196" s="9"/>
      <c r="C1196" s="4"/>
      <c r="D1196" s="8"/>
      <c r="E1196" s="8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ht="15.75" customHeight="1">
      <c r="A1197" s="8">
        <v>2893.0</v>
      </c>
      <c r="B1197" s="9"/>
      <c r="C1197" s="4"/>
      <c r="D1197" s="8"/>
      <c r="E1197" s="8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ht="15.75" customHeight="1">
      <c r="A1198" s="8">
        <v>2894.0</v>
      </c>
      <c r="B1198" s="9"/>
      <c r="C1198" s="4"/>
      <c r="D1198" s="8"/>
      <c r="E1198" s="8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ht="15.75" customHeight="1">
      <c r="A1199" s="8">
        <v>2895.0</v>
      </c>
      <c r="B1199" s="9"/>
      <c r="C1199" s="4"/>
      <c r="D1199" s="8"/>
      <c r="E1199" s="8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ht="15.75" customHeight="1">
      <c r="A1200" s="8">
        <v>2896.0</v>
      </c>
      <c r="B1200" s="9"/>
      <c r="C1200" s="4"/>
      <c r="D1200" s="8"/>
      <c r="E1200" s="8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ht="15.75" customHeight="1">
      <c r="A1201" s="8">
        <v>2897.0</v>
      </c>
      <c r="B1201" s="9"/>
      <c r="C1201" s="4"/>
      <c r="D1201" s="8"/>
      <c r="E1201" s="8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ht="15.75" customHeight="1">
      <c r="A1202" s="8">
        <v>2898.0</v>
      </c>
      <c r="B1202" s="9"/>
      <c r="C1202" s="4"/>
      <c r="D1202" s="8"/>
      <c r="E1202" s="8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ht="15.75" customHeight="1">
      <c r="A1203" s="8">
        <v>2899.0</v>
      </c>
      <c r="B1203" s="9"/>
      <c r="C1203" s="4"/>
      <c r="D1203" s="8"/>
      <c r="E1203" s="8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ht="15.75" customHeight="1">
      <c r="A1204" s="8">
        <v>2900.0</v>
      </c>
      <c r="B1204" s="9"/>
      <c r="C1204" s="4"/>
      <c r="D1204" s="8"/>
      <c r="E1204" s="8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ht="15.75" customHeight="1">
      <c r="A1205" s="8">
        <v>2901.0</v>
      </c>
      <c r="B1205" s="9"/>
      <c r="C1205" s="4"/>
      <c r="D1205" s="8"/>
      <c r="E1205" s="8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ht="15.75" customHeight="1">
      <c r="A1206" s="8">
        <v>2902.0</v>
      </c>
      <c r="B1206" s="9"/>
      <c r="C1206" s="4"/>
      <c r="D1206" s="8"/>
      <c r="E1206" s="8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ht="15.75" customHeight="1">
      <c r="A1207" s="8">
        <v>2903.0</v>
      </c>
      <c r="B1207" s="9"/>
      <c r="C1207" s="4"/>
      <c r="D1207" s="8"/>
      <c r="E1207" s="8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ht="15.75" customHeight="1">
      <c r="A1208" s="8">
        <v>2904.0</v>
      </c>
      <c r="B1208" s="9"/>
      <c r="C1208" s="4"/>
      <c r="D1208" s="8"/>
      <c r="E1208" s="8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ht="15.75" customHeight="1">
      <c r="A1209" s="8">
        <v>2905.0</v>
      </c>
      <c r="B1209" s="9"/>
      <c r="C1209" s="4"/>
      <c r="D1209" s="8"/>
      <c r="E1209" s="8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ht="15.75" customHeight="1">
      <c r="A1210" s="8">
        <v>2906.0</v>
      </c>
      <c r="B1210" s="9"/>
      <c r="C1210" s="4"/>
      <c r="D1210" s="8"/>
      <c r="E1210" s="8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ht="15.75" customHeight="1">
      <c r="A1211" s="8">
        <v>2907.0</v>
      </c>
      <c r="B1211" s="9"/>
      <c r="C1211" s="4"/>
      <c r="D1211" s="8"/>
      <c r="E1211" s="8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ht="15.75" customHeight="1">
      <c r="A1212" s="8">
        <v>2908.0</v>
      </c>
      <c r="B1212" s="9"/>
      <c r="C1212" s="4"/>
      <c r="D1212" s="8"/>
      <c r="E1212" s="8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ht="15.75" customHeight="1">
      <c r="A1213" s="8">
        <v>2909.0</v>
      </c>
      <c r="B1213" s="9"/>
      <c r="C1213" s="4"/>
      <c r="D1213" s="8"/>
      <c r="E1213" s="8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ht="15.75" customHeight="1">
      <c r="A1214" s="8">
        <v>2910.0</v>
      </c>
      <c r="B1214" s="9"/>
      <c r="C1214" s="4"/>
      <c r="D1214" s="8"/>
      <c r="E1214" s="8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ht="15.75" customHeight="1">
      <c r="A1215" s="8">
        <v>2911.0</v>
      </c>
      <c r="B1215" s="9"/>
      <c r="C1215" s="4"/>
      <c r="D1215" s="8"/>
      <c r="E1215" s="8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ht="15.75" customHeight="1">
      <c r="A1216" s="8">
        <v>2912.0</v>
      </c>
      <c r="B1216" s="9"/>
      <c r="C1216" s="4"/>
      <c r="D1216" s="8"/>
      <c r="E1216" s="8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ht="15.75" customHeight="1">
      <c r="A1217" s="8">
        <v>2913.0</v>
      </c>
      <c r="B1217" s="9"/>
      <c r="C1217" s="4"/>
      <c r="D1217" s="8"/>
      <c r="E1217" s="8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ht="15.75" customHeight="1">
      <c r="A1218" s="8">
        <v>2914.0</v>
      </c>
      <c r="B1218" s="9"/>
      <c r="C1218" s="4"/>
      <c r="D1218" s="8"/>
      <c r="E1218" s="8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ht="15.75" customHeight="1">
      <c r="A1219" s="8">
        <v>2915.0</v>
      </c>
      <c r="B1219" s="9"/>
      <c r="C1219" s="4"/>
      <c r="D1219" s="8"/>
      <c r="E1219" s="8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ht="15.75" customHeight="1">
      <c r="A1220" s="8">
        <v>2916.0</v>
      </c>
      <c r="B1220" s="9"/>
      <c r="C1220" s="4"/>
      <c r="D1220" s="8"/>
      <c r="E1220" s="8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ht="15.75" customHeight="1">
      <c r="A1221" s="8">
        <v>2917.0</v>
      </c>
      <c r="B1221" s="9"/>
      <c r="C1221" s="4"/>
      <c r="D1221" s="8"/>
      <c r="E1221" s="8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ht="15.75" customHeight="1">
      <c r="A1222" s="8">
        <v>2918.0</v>
      </c>
      <c r="B1222" s="9"/>
      <c r="C1222" s="4"/>
      <c r="D1222" s="8"/>
      <c r="E1222" s="8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ht="15.75" customHeight="1">
      <c r="A1223" s="8">
        <v>2919.0</v>
      </c>
      <c r="B1223" s="9"/>
      <c r="C1223" s="4"/>
      <c r="D1223" s="8"/>
      <c r="E1223" s="8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ht="15.75" customHeight="1">
      <c r="A1224" s="8">
        <v>2920.0</v>
      </c>
      <c r="B1224" s="9"/>
      <c r="C1224" s="4"/>
      <c r="D1224" s="8"/>
      <c r="E1224" s="8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ht="15.75" customHeight="1">
      <c r="A1225" s="8">
        <v>2921.0</v>
      </c>
      <c r="B1225" s="9"/>
      <c r="C1225" s="4"/>
      <c r="D1225" s="8"/>
      <c r="E1225" s="8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ht="15.75" customHeight="1">
      <c r="A1226" s="8">
        <v>2922.0</v>
      </c>
      <c r="B1226" s="9"/>
      <c r="C1226" s="4"/>
      <c r="D1226" s="8"/>
      <c r="E1226" s="8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ht="15.75" customHeight="1">
      <c r="A1227" s="8">
        <v>2923.0</v>
      </c>
      <c r="B1227" s="9"/>
      <c r="C1227" s="4"/>
      <c r="D1227" s="8"/>
      <c r="E1227" s="8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ht="15.75" customHeight="1">
      <c r="A1228" s="8">
        <v>2924.0</v>
      </c>
      <c r="B1228" s="9"/>
      <c r="C1228" s="4"/>
      <c r="D1228" s="8"/>
      <c r="E1228" s="8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ht="15.75" customHeight="1">
      <c r="A1229" s="8">
        <v>2925.0</v>
      </c>
      <c r="B1229" s="9"/>
      <c r="C1229" s="4"/>
      <c r="D1229" s="8"/>
      <c r="E1229" s="8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ht="15.75" customHeight="1">
      <c r="A1230" s="8">
        <v>2926.0</v>
      </c>
      <c r="B1230" s="9"/>
      <c r="C1230" s="4"/>
      <c r="D1230" s="8"/>
      <c r="E1230" s="8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ht="15.75" customHeight="1">
      <c r="A1231" s="8">
        <v>2927.0</v>
      </c>
      <c r="B1231" s="9"/>
      <c r="C1231" s="4"/>
      <c r="D1231" s="8"/>
      <c r="E1231" s="8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ht="15.75" customHeight="1">
      <c r="A1232" s="8">
        <v>2928.0</v>
      </c>
      <c r="B1232" s="9"/>
      <c r="C1232" s="4"/>
      <c r="D1232" s="8"/>
      <c r="E1232" s="8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ht="15.75" customHeight="1">
      <c r="A1233" s="8">
        <v>2929.0</v>
      </c>
      <c r="B1233" s="9"/>
      <c r="C1233" s="4"/>
      <c r="D1233" s="8"/>
      <c r="E1233" s="8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ht="15.75" customHeight="1">
      <c r="A1234" s="8">
        <v>2930.0</v>
      </c>
      <c r="B1234" s="9"/>
      <c r="C1234" s="4"/>
      <c r="D1234" s="8"/>
      <c r="E1234" s="8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ht="15.75" customHeight="1">
      <c r="A1235" s="8">
        <v>2931.0</v>
      </c>
      <c r="B1235" s="9"/>
      <c r="C1235" s="4"/>
      <c r="D1235" s="8"/>
      <c r="E1235" s="8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ht="15.75" customHeight="1">
      <c r="A1236" s="8">
        <v>2932.0</v>
      </c>
      <c r="B1236" s="9"/>
      <c r="C1236" s="4"/>
      <c r="D1236" s="8"/>
      <c r="E1236" s="8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ht="15.75" customHeight="1">
      <c r="A1237" s="8">
        <v>2933.0</v>
      </c>
      <c r="B1237" s="9"/>
      <c r="C1237" s="4"/>
      <c r="D1237" s="8"/>
      <c r="E1237" s="8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ht="15.75" customHeight="1">
      <c r="A1238" s="8">
        <v>2934.0</v>
      </c>
      <c r="B1238" s="9"/>
      <c r="C1238" s="4"/>
      <c r="D1238" s="8"/>
      <c r="E1238" s="8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ht="15.75" customHeight="1">
      <c r="A1239" s="8">
        <v>2935.0</v>
      </c>
      <c r="B1239" s="9"/>
      <c r="C1239" s="4"/>
      <c r="D1239" s="8"/>
      <c r="E1239" s="8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ht="15.75" customHeight="1">
      <c r="A1240" s="8">
        <v>2936.0</v>
      </c>
      <c r="B1240" s="9"/>
      <c r="C1240" s="4"/>
      <c r="D1240" s="8"/>
      <c r="E1240" s="8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ht="15.75" customHeight="1">
      <c r="A1241" s="8">
        <v>2937.0</v>
      </c>
      <c r="B1241" s="9"/>
      <c r="C1241" s="4"/>
      <c r="D1241" s="8"/>
      <c r="E1241" s="8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ht="15.75" customHeight="1">
      <c r="A1242" s="8">
        <v>2938.0</v>
      </c>
      <c r="B1242" s="9"/>
      <c r="C1242" s="4"/>
      <c r="D1242" s="8"/>
      <c r="E1242" s="8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ht="15.75" customHeight="1">
      <c r="A1243" s="8">
        <v>2939.0</v>
      </c>
      <c r="B1243" s="9"/>
      <c r="C1243" s="4"/>
      <c r="D1243" s="8"/>
      <c r="E1243" s="8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ht="15.75" customHeight="1">
      <c r="A1244" s="8">
        <v>2940.0</v>
      </c>
      <c r="B1244" s="9"/>
      <c r="C1244" s="4"/>
      <c r="D1244" s="8"/>
      <c r="E1244" s="8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ht="15.75" customHeight="1">
      <c r="A1245" s="8">
        <v>2941.0</v>
      </c>
      <c r="B1245" s="9"/>
      <c r="C1245" s="4"/>
      <c r="D1245" s="8"/>
      <c r="E1245" s="8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ht="15.75" customHeight="1">
      <c r="A1246" s="8">
        <v>2942.0</v>
      </c>
      <c r="B1246" s="9"/>
      <c r="C1246" s="4"/>
      <c r="D1246" s="8"/>
      <c r="E1246" s="8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ht="15.75" customHeight="1">
      <c r="A1247" s="8">
        <v>2943.0</v>
      </c>
      <c r="B1247" s="9"/>
      <c r="C1247" s="4"/>
      <c r="D1247" s="8"/>
      <c r="E1247" s="8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ht="15.75" customHeight="1">
      <c r="A1248" s="8">
        <v>2944.0</v>
      </c>
      <c r="B1248" s="9"/>
      <c r="C1248" s="4"/>
      <c r="D1248" s="8"/>
      <c r="E1248" s="8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ht="15.75" customHeight="1">
      <c r="A1249" s="8">
        <v>2945.0</v>
      </c>
      <c r="B1249" s="9"/>
      <c r="C1249" s="4"/>
      <c r="D1249" s="8"/>
      <c r="E1249" s="8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ht="15.75" customHeight="1">
      <c r="A1250" s="8">
        <v>2946.0</v>
      </c>
      <c r="B1250" s="9"/>
      <c r="C1250" s="4"/>
      <c r="D1250" s="8"/>
      <c r="E1250" s="8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ht="15.75" customHeight="1">
      <c r="A1251" s="8">
        <v>2947.0</v>
      </c>
      <c r="B1251" s="9"/>
      <c r="C1251" s="4"/>
      <c r="D1251" s="8"/>
      <c r="E1251" s="8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ht="15.75" customHeight="1">
      <c r="A1252" s="8">
        <v>2948.0</v>
      </c>
      <c r="B1252" s="9"/>
      <c r="C1252" s="4"/>
      <c r="D1252" s="8"/>
      <c r="E1252" s="8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ht="15.75" customHeight="1">
      <c r="A1253" s="8">
        <v>2949.0</v>
      </c>
      <c r="B1253" s="9"/>
      <c r="C1253" s="4"/>
      <c r="D1253" s="8"/>
      <c r="E1253" s="8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ht="15.75" customHeight="1">
      <c r="A1254" s="8">
        <v>2950.0</v>
      </c>
      <c r="B1254" s="9"/>
      <c r="C1254" s="4"/>
      <c r="D1254" s="8"/>
      <c r="E1254" s="8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ht="15.75" customHeight="1">
      <c r="A1255" s="8">
        <v>2951.0</v>
      </c>
      <c r="B1255" s="9"/>
      <c r="C1255" s="4"/>
      <c r="D1255" s="8"/>
      <c r="E1255" s="8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ht="15.75" customHeight="1">
      <c r="A1256" s="8">
        <v>2952.0</v>
      </c>
      <c r="B1256" s="9"/>
      <c r="C1256" s="4"/>
      <c r="D1256" s="8"/>
      <c r="E1256" s="8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ht="15.75" customHeight="1">
      <c r="A1257" s="8">
        <v>2953.0</v>
      </c>
      <c r="B1257" s="9"/>
      <c r="C1257" s="4"/>
      <c r="D1257" s="8"/>
      <c r="E1257" s="8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ht="15.75" customHeight="1">
      <c r="A1258" s="8">
        <v>2954.0</v>
      </c>
      <c r="B1258" s="9"/>
      <c r="C1258" s="4"/>
      <c r="D1258" s="8"/>
      <c r="E1258" s="8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ht="15.75" customHeight="1">
      <c r="A1259" s="8">
        <v>2955.0</v>
      </c>
      <c r="B1259" s="9"/>
      <c r="C1259" s="4"/>
      <c r="D1259" s="8"/>
      <c r="E1259" s="8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ht="15.75" customHeight="1">
      <c r="A1260" s="8">
        <v>2956.0</v>
      </c>
      <c r="B1260" s="9"/>
      <c r="C1260" s="4"/>
      <c r="D1260" s="8"/>
      <c r="E1260" s="8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ht="15.75" customHeight="1">
      <c r="A1261" s="8">
        <v>2957.0</v>
      </c>
      <c r="B1261" s="9"/>
      <c r="C1261" s="4"/>
      <c r="D1261" s="8"/>
      <c r="E1261" s="8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ht="15.75" customHeight="1">
      <c r="A1262" s="8">
        <v>2958.0</v>
      </c>
      <c r="B1262" s="9"/>
      <c r="C1262" s="4"/>
      <c r="D1262" s="8"/>
      <c r="E1262" s="8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ht="15.75" customHeight="1">
      <c r="A1263" s="8">
        <v>2959.0</v>
      </c>
      <c r="B1263" s="9"/>
      <c r="C1263" s="4"/>
      <c r="D1263" s="8"/>
      <c r="E1263" s="8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ht="15.75" customHeight="1">
      <c r="A1264" s="8">
        <v>2960.0</v>
      </c>
      <c r="B1264" s="9"/>
      <c r="C1264" s="4"/>
      <c r="D1264" s="8"/>
      <c r="E1264" s="8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ht="15.75" customHeight="1">
      <c r="A1265" s="8">
        <v>2961.0</v>
      </c>
      <c r="B1265" s="9"/>
      <c r="C1265" s="4"/>
      <c r="D1265" s="8"/>
      <c r="E1265" s="8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ht="15.75" customHeight="1">
      <c r="A1266" s="8">
        <v>2962.0</v>
      </c>
      <c r="B1266" s="9"/>
      <c r="C1266" s="4"/>
      <c r="D1266" s="8"/>
      <c r="E1266" s="8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ht="15.75" customHeight="1">
      <c r="A1267" s="8">
        <v>2963.0</v>
      </c>
      <c r="B1267" s="9"/>
      <c r="C1267" s="4"/>
      <c r="D1267" s="8"/>
      <c r="E1267" s="8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ht="15.75" customHeight="1">
      <c r="A1268" s="8">
        <v>2964.0</v>
      </c>
      <c r="B1268" s="9"/>
      <c r="C1268" s="4"/>
      <c r="D1268" s="8"/>
      <c r="E1268" s="8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ht="15.75" customHeight="1">
      <c r="A1269" s="8">
        <v>2965.0</v>
      </c>
      <c r="B1269" s="9"/>
      <c r="C1269" s="4"/>
      <c r="D1269" s="8"/>
      <c r="E1269" s="8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ht="15.75" customHeight="1">
      <c r="A1270" s="8">
        <v>2966.0</v>
      </c>
      <c r="B1270" s="9"/>
      <c r="C1270" s="4"/>
      <c r="D1270" s="8"/>
      <c r="E1270" s="8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ht="15.75" customHeight="1">
      <c r="A1271" s="8">
        <v>2967.0</v>
      </c>
      <c r="B1271" s="9"/>
      <c r="C1271" s="4"/>
      <c r="D1271" s="8"/>
      <c r="E1271" s="8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ht="15.75" customHeight="1">
      <c r="A1272" s="8">
        <v>2968.0</v>
      </c>
      <c r="B1272" s="9"/>
      <c r="C1272" s="4"/>
      <c r="D1272" s="8"/>
      <c r="E1272" s="8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ht="15.75" customHeight="1">
      <c r="A1273" s="8">
        <v>2969.0</v>
      </c>
      <c r="B1273" s="9"/>
      <c r="C1273" s="4"/>
      <c r="D1273" s="8"/>
      <c r="E1273" s="8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ht="15.75" customHeight="1">
      <c r="A1274" s="8">
        <v>2970.0</v>
      </c>
      <c r="B1274" s="9"/>
      <c r="C1274" s="4"/>
      <c r="D1274" s="8"/>
      <c r="E1274" s="8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ht="15.75" customHeight="1">
      <c r="A1275" s="8">
        <v>2971.0</v>
      </c>
      <c r="B1275" s="9"/>
      <c r="C1275" s="4"/>
      <c r="D1275" s="8"/>
      <c r="E1275" s="8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ht="15.75" customHeight="1">
      <c r="A1276" s="8">
        <v>2972.0</v>
      </c>
      <c r="B1276" s="9"/>
      <c r="C1276" s="4"/>
      <c r="D1276" s="8"/>
      <c r="E1276" s="8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ht="15.75" customHeight="1">
      <c r="A1277" s="8">
        <v>2973.0</v>
      </c>
      <c r="B1277" s="9"/>
      <c r="C1277" s="4"/>
      <c r="D1277" s="8"/>
      <c r="E1277" s="8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ht="15.75" customHeight="1">
      <c r="A1278" s="8">
        <v>2974.0</v>
      </c>
      <c r="B1278" s="9"/>
      <c r="C1278" s="4"/>
      <c r="D1278" s="8"/>
      <c r="E1278" s="8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ht="15.75" customHeight="1">
      <c r="A1279" s="8">
        <v>2975.0</v>
      </c>
      <c r="B1279" s="9"/>
      <c r="C1279" s="4"/>
      <c r="D1279" s="8"/>
      <c r="E1279" s="8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ht="15.75" customHeight="1">
      <c r="A1280" s="8">
        <v>2976.0</v>
      </c>
      <c r="B1280" s="9"/>
      <c r="C1280" s="4"/>
      <c r="D1280" s="8"/>
      <c r="E1280" s="8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ht="15.75" customHeight="1">
      <c r="A1281" s="8">
        <v>2977.0</v>
      </c>
      <c r="B1281" s="9"/>
      <c r="C1281" s="4"/>
      <c r="D1281" s="8"/>
      <c r="E1281" s="8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ht="15.75" customHeight="1">
      <c r="A1282" s="8">
        <v>2978.0</v>
      </c>
      <c r="B1282" s="9"/>
      <c r="C1282" s="4"/>
      <c r="D1282" s="8"/>
      <c r="E1282" s="8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ht="15.75" customHeight="1">
      <c r="A1283" s="8">
        <v>2979.0</v>
      </c>
      <c r="B1283" s="9"/>
      <c r="C1283" s="4"/>
      <c r="D1283" s="8"/>
      <c r="E1283" s="8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ht="15.75" customHeight="1">
      <c r="A1284" s="8">
        <v>2980.0</v>
      </c>
      <c r="B1284" s="9"/>
      <c r="C1284" s="4"/>
      <c r="D1284" s="8"/>
      <c r="E1284" s="8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ht="15.75" customHeight="1">
      <c r="A1285" s="8">
        <v>2981.0</v>
      </c>
      <c r="B1285" s="9"/>
      <c r="C1285" s="4"/>
      <c r="D1285" s="8"/>
      <c r="E1285" s="8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ht="15.75" customHeight="1">
      <c r="A1286" s="8">
        <v>2982.0</v>
      </c>
      <c r="B1286" s="9"/>
      <c r="C1286" s="4"/>
      <c r="D1286" s="8"/>
      <c r="E1286" s="8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ht="15.75" customHeight="1">
      <c r="A1287" s="8">
        <v>2983.0</v>
      </c>
      <c r="B1287" s="9"/>
      <c r="C1287" s="4"/>
      <c r="D1287" s="8"/>
      <c r="E1287" s="8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ht="15.75" customHeight="1">
      <c r="A1288" s="8">
        <v>2984.0</v>
      </c>
      <c r="B1288" s="9"/>
      <c r="C1288" s="4"/>
      <c r="D1288" s="8"/>
      <c r="E1288" s="8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ht="15.75" customHeight="1">
      <c r="A1289" s="8">
        <v>2985.0</v>
      </c>
      <c r="B1289" s="9"/>
      <c r="C1289" s="4"/>
      <c r="D1289" s="8"/>
      <c r="E1289" s="8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ht="15.75" customHeight="1">
      <c r="A1290" s="8">
        <v>2986.0</v>
      </c>
      <c r="B1290" s="9"/>
      <c r="C1290" s="4"/>
      <c r="D1290" s="8"/>
      <c r="E1290" s="8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ht="15.75" customHeight="1">
      <c r="A1291" s="8">
        <v>2987.0</v>
      </c>
      <c r="B1291" s="9"/>
      <c r="C1291" s="4"/>
      <c r="D1291" s="8"/>
      <c r="E1291" s="8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ht="15.75" customHeight="1">
      <c r="A1292" s="8">
        <v>2988.0</v>
      </c>
      <c r="B1292" s="9"/>
      <c r="C1292" s="4"/>
      <c r="D1292" s="8"/>
      <c r="E1292" s="8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ht="15.75" customHeight="1">
      <c r="A1293" s="8">
        <v>2989.0</v>
      </c>
      <c r="B1293" s="9"/>
      <c r="C1293" s="4"/>
      <c r="D1293" s="8"/>
      <c r="E1293" s="8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ht="15.75" customHeight="1">
      <c r="A1294" s="8">
        <v>2990.0</v>
      </c>
      <c r="B1294" s="9"/>
      <c r="C1294" s="4"/>
      <c r="D1294" s="8"/>
      <c r="E1294" s="8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ht="15.75" customHeight="1">
      <c r="A1295" s="8">
        <v>2991.0</v>
      </c>
      <c r="B1295" s="9"/>
      <c r="C1295" s="4"/>
      <c r="D1295" s="8"/>
      <c r="E1295" s="8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ht="15.75" customHeight="1">
      <c r="A1296" s="8">
        <v>2992.0</v>
      </c>
      <c r="B1296" s="9"/>
      <c r="C1296" s="4"/>
      <c r="D1296" s="8"/>
      <c r="E1296" s="8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ht="15.75" customHeight="1">
      <c r="A1297" s="8">
        <v>2993.0</v>
      </c>
      <c r="B1297" s="9"/>
      <c r="C1297" s="4"/>
      <c r="D1297" s="8"/>
      <c r="E1297" s="8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ht="15.75" customHeight="1">
      <c r="A1298" s="8">
        <v>2994.0</v>
      </c>
      <c r="B1298" s="9"/>
      <c r="C1298" s="4"/>
      <c r="D1298" s="8"/>
      <c r="E1298" s="8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ht="15.75" customHeight="1">
      <c r="A1299" s="8">
        <v>2995.0</v>
      </c>
      <c r="B1299" s="9"/>
      <c r="C1299" s="4"/>
      <c r="D1299" s="8"/>
      <c r="E1299" s="8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ht="15.75" customHeight="1">
      <c r="A1300" s="8">
        <v>2996.0</v>
      </c>
      <c r="B1300" s="9"/>
      <c r="C1300" s="4"/>
      <c r="D1300" s="8"/>
      <c r="E1300" s="8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ht="15.75" customHeight="1">
      <c r="A1301" s="8">
        <v>2997.0</v>
      </c>
      <c r="B1301" s="9"/>
      <c r="C1301" s="4"/>
      <c r="D1301" s="8"/>
      <c r="E1301" s="8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ht="15.75" customHeight="1">
      <c r="A1302" s="8">
        <v>2998.0</v>
      </c>
      <c r="B1302" s="9"/>
      <c r="C1302" s="4"/>
      <c r="D1302" s="8"/>
      <c r="E1302" s="8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ht="15.75" customHeight="1">
      <c r="A1303" s="8">
        <v>2999.0</v>
      </c>
      <c r="B1303" s="9"/>
      <c r="C1303" s="4"/>
      <c r="D1303" s="8"/>
      <c r="E1303" s="8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ht="15.75" customHeight="1">
      <c r="A1304" s="8">
        <v>3000.0</v>
      </c>
      <c r="B1304" s="9"/>
      <c r="C1304" s="4"/>
      <c r="D1304" s="8"/>
      <c r="E1304" s="8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</sheetData>
  <autoFilter ref="$A$2:$F$1304"/>
  <mergeCells count="1">
    <mergeCell ref="A1:C1"/>
  </mergeCells>
  <conditionalFormatting sqref="A3:F1304">
    <cfRule type="expression" dxfId="0" priority="1">
      <formula>#REF!="Indeferido"</formula>
    </cfRule>
  </conditionalFormatting>
  <conditionalFormatting sqref="A3:F1304">
    <cfRule type="expression" dxfId="1" priority="2">
      <formula>#REF!="Concluído"</formula>
    </cfRule>
  </conditionalFormatting>
  <dataValidations>
    <dataValidation type="list" allowBlank="1" showErrorMessage="1" sqref="D3:E555 D557:E1304">
      <formula1>Dados!$A$3:$A$303</formula1>
    </dataValidation>
    <dataValidation type="list" allowBlank="1" showErrorMessage="1" sqref="F3:F555 F557:F1304">
      <formula1>Dados!$C$3:$C$502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2.71"/>
    <col customWidth="1" min="3" max="3" width="96.71"/>
    <col customWidth="1" min="4" max="4" width="33.86"/>
    <col customWidth="1" min="5" max="6" width="22.71"/>
    <col customWidth="1" min="7" max="26" width="8.71"/>
  </cols>
  <sheetData>
    <row r="1" ht="34.5" customHeight="1">
      <c r="A1" s="28" t="s">
        <v>0</v>
      </c>
      <c r="B1" s="2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29" t="s">
        <v>1</v>
      </c>
      <c r="B2" s="30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2">
        <v>1.0</v>
      </c>
      <c r="B3" s="33">
        <v>45660.0</v>
      </c>
      <c r="C3" s="4" t="s">
        <v>656</v>
      </c>
      <c r="D3" s="8" t="s">
        <v>184</v>
      </c>
      <c r="E3" s="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2">
        <v>2.0</v>
      </c>
      <c r="B4" s="33">
        <v>45660.0</v>
      </c>
      <c r="C4" s="4" t="s">
        <v>657</v>
      </c>
      <c r="D4" s="8" t="s">
        <v>136</v>
      </c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2">
        <v>3.0</v>
      </c>
      <c r="B5" s="33">
        <v>45665.0</v>
      </c>
      <c r="C5" s="4" t="s">
        <v>658</v>
      </c>
      <c r="D5" s="8" t="s">
        <v>20</v>
      </c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2">
        <v>4.0</v>
      </c>
      <c r="B6" s="33">
        <v>45665.0</v>
      </c>
      <c r="C6" s="4" t="s">
        <v>659</v>
      </c>
      <c r="D6" s="8" t="s">
        <v>25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2">
        <v>5.0</v>
      </c>
      <c r="B7" s="33">
        <v>45665.0</v>
      </c>
      <c r="C7" s="4" t="s">
        <v>660</v>
      </c>
      <c r="D7" s="8" t="s">
        <v>11</v>
      </c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>
        <v>6.0</v>
      </c>
      <c r="B8" s="33">
        <v>45665.0</v>
      </c>
      <c r="C8" s="4" t="s">
        <v>661</v>
      </c>
      <c r="D8" s="8" t="s">
        <v>25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2">
        <v>7.0</v>
      </c>
      <c r="B9" s="33">
        <v>45665.0</v>
      </c>
      <c r="C9" s="4" t="s">
        <v>662</v>
      </c>
      <c r="D9" s="8"/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2">
        <v>8.0</v>
      </c>
      <c r="B10" s="33">
        <v>45665.0</v>
      </c>
      <c r="C10" s="4" t="s">
        <v>663</v>
      </c>
      <c r="D10" s="8" t="s">
        <v>11</v>
      </c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2">
        <v>9.0</v>
      </c>
      <c r="B11" s="33">
        <v>45666.0</v>
      </c>
      <c r="C11" s="4" t="s">
        <v>659</v>
      </c>
      <c r="D11" s="8" t="s">
        <v>25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2">
        <v>10.0</v>
      </c>
      <c r="B12" s="33">
        <v>45666.0</v>
      </c>
      <c r="C12" s="4" t="s">
        <v>664</v>
      </c>
      <c r="D12" s="8" t="s">
        <v>25</v>
      </c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2">
        <v>11.0</v>
      </c>
      <c r="B13" s="33">
        <v>45667.0</v>
      </c>
      <c r="C13" s="4" t="s">
        <v>665</v>
      </c>
      <c r="D13" s="8" t="s">
        <v>77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2">
        <v>12.0</v>
      </c>
      <c r="B14" s="33">
        <v>45667.0</v>
      </c>
      <c r="C14" s="4" t="s">
        <v>666</v>
      </c>
      <c r="D14" s="8" t="s">
        <v>11</v>
      </c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2">
        <v>13.0</v>
      </c>
      <c r="B15" s="33">
        <v>45667.0</v>
      </c>
      <c r="C15" s="4" t="s">
        <v>667</v>
      </c>
      <c r="D15" s="8" t="s">
        <v>11</v>
      </c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2">
        <v>14.0</v>
      </c>
      <c r="B16" s="33">
        <v>45670.0</v>
      </c>
      <c r="C16" s="4" t="s">
        <v>668</v>
      </c>
      <c r="D16" s="8" t="s">
        <v>77</v>
      </c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2">
        <v>15.0</v>
      </c>
      <c r="B17" s="33">
        <v>45670.0</v>
      </c>
      <c r="C17" s="4" t="s">
        <v>669</v>
      </c>
      <c r="D17" s="8" t="s">
        <v>77</v>
      </c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2">
        <v>16.0</v>
      </c>
      <c r="B18" s="33">
        <v>45670.0</v>
      </c>
      <c r="C18" s="4" t="s">
        <v>670</v>
      </c>
      <c r="D18" s="8" t="s">
        <v>77</v>
      </c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2">
        <v>17.0</v>
      </c>
      <c r="B19" s="33">
        <v>45670.0</v>
      </c>
      <c r="C19" s="4" t="s">
        <v>671</v>
      </c>
      <c r="D19" s="8" t="s">
        <v>77</v>
      </c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2">
        <v>18.0</v>
      </c>
      <c r="B20" s="33">
        <v>45670.0</v>
      </c>
      <c r="C20" s="4" t="s">
        <v>667</v>
      </c>
      <c r="D20" s="8" t="s">
        <v>11</v>
      </c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2">
        <v>19.0</v>
      </c>
      <c r="B21" s="33">
        <v>45670.0</v>
      </c>
      <c r="C21" s="4" t="s">
        <v>672</v>
      </c>
      <c r="D21" s="8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2">
        <v>20.0</v>
      </c>
      <c r="B22" s="33">
        <v>45670.0</v>
      </c>
      <c r="C22" s="4" t="s">
        <v>673</v>
      </c>
      <c r="D22" s="8" t="s">
        <v>25</v>
      </c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2">
        <v>21.0</v>
      </c>
      <c r="B23" s="33">
        <v>45670.0</v>
      </c>
      <c r="C23" s="4" t="s">
        <v>674</v>
      </c>
      <c r="D23" s="8" t="s">
        <v>30</v>
      </c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2">
        <v>22.0</v>
      </c>
      <c r="B24" s="33">
        <v>45671.0</v>
      </c>
      <c r="C24" s="4" t="s">
        <v>675</v>
      </c>
      <c r="D24" s="8" t="s">
        <v>77</v>
      </c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2">
        <v>23.0</v>
      </c>
      <c r="B25" s="33">
        <v>45672.0</v>
      </c>
      <c r="C25" s="4" t="s">
        <v>676</v>
      </c>
      <c r="D25" s="8" t="s">
        <v>77</v>
      </c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2">
        <v>24.0</v>
      </c>
      <c r="B26" s="33">
        <v>45672.0</v>
      </c>
      <c r="C26" s="4" t="s">
        <v>677</v>
      </c>
      <c r="D26" s="8" t="s">
        <v>11</v>
      </c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2">
        <v>25.0</v>
      </c>
      <c r="B27" s="33">
        <v>45672.0</v>
      </c>
      <c r="C27" s="4" t="s">
        <v>678</v>
      </c>
      <c r="D27" s="8"/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2">
        <v>26.0</v>
      </c>
      <c r="B28" s="33">
        <v>45672.0</v>
      </c>
      <c r="C28" s="4" t="s">
        <v>678</v>
      </c>
      <c r="D28" s="8"/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2">
        <v>27.0</v>
      </c>
      <c r="B29" s="33">
        <v>45672.0</v>
      </c>
      <c r="C29" s="4" t="s">
        <v>679</v>
      </c>
      <c r="D29" s="8" t="s">
        <v>77</v>
      </c>
      <c r="E29" s="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2">
        <v>28.0</v>
      </c>
      <c r="B30" s="33">
        <v>45672.0</v>
      </c>
      <c r="C30" s="4" t="s">
        <v>667</v>
      </c>
      <c r="D30" s="8" t="s">
        <v>11</v>
      </c>
      <c r="E30" s="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2">
        <v>29.0</v>
      </c>
      <c r="B31" s="33">
        <v>45673.0</v>
      </c>
      <c r="C31" s="4" t="s">
        <v>680</v>
      </c>
      <c r="D31" s="8" t="s">
        <v>30</v>
      </c>
      <c r="E31" s="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2">
        <v>30.0</v>
      </c>
      <c r="B32" s="33">
        <v>45673.0</v>
      </c>
      <c r="C32" s="4" t="s">
        <v>681</v>
      </c>
      <c r="D32" s="8" t="s">
        <v>77</v>
      </c>
      <c r="E32" s="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2">
        <v>31.0</v>
      </c>
      <c r="B33" s="33">
        <v>45673.0</v>
      </c>
      <c r="C33" s="4" t="s">
        <v>667</v>
      </c>
      <c r="D33" s="8" t="s">
        <v>11</v>
      </c>
      <c r="E33" s="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2">
        <v>32.0</v>
      </c>
      <c r="B34" s="33">
        <v>45677.0</v>
      </c>
      <c r="C34" s="4" t="s">
        <v>682</v>
      </c>
      <c r="D34" s="8" t="s">
        <v>11</v>
      </c>
      <c r="E34" s="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2">
        <v>33.0</v>
      </c>
      <c r="B35" s="33">
        <v>45674.0</v>
      </c>
      <c r="C35" s="4" t="s">
        <v>683</v>
      </c>
      <c r="D35" s="8" t="s">
        <v>11</v>
      </c>
      <c r="E35" s="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2">
        <v>34.0</v>
      </c>
      <c r="B36" s="33">
        <v>45677.0</v>
      </c>
      <c r="C36" s="4" t="s">
        <v>684</v>
      </c>
      <c r="D36" s="8" t="s">
        <v>25</v>
      </c>
      <c r="E36" s="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2">
        <v>35.0</v>
      </c>
      <c r="B37" s="33">
        <v>45677.0</v>
      </c>
      <c r="C37" s="4" t="s">
        <v>685</v>
      </c>
      <c r="D37" s="8" t="s">
        <v>25</v>
      </c>
      <c r="E37" s="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2">
        <v>36.0</v>
      </c>
      <c r="B38" s="33">
        <v>45677.0</v>
      </c>
      <c r="C38" s="4" t="s">
        <v>686</v>
      </c>
      <c r="D38" s="8" t="s">
        <v>77</v>
      </c>
      <c r="E38" s="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2">
        <v>37.0</v>
      </c>
      <c r="B39" s="33">
        <v>45677.0</v>
      </c>
      <c r="C39" s="4" t="s">
        <v>687</v>
      </c>
      <c r="D39" s="8" t="s">
        <v>25</v>
      </c>
      <c r="E39" s="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2">
        <v>38.0</v>
      </c>
      <c r="B40" s="33">
        <v>45677.0</v>
      </c>
      <c r="C40" s="4" t="s">
        <v>688</v>
      </c>
      <c r="D40" s="8" t="s">
        <v>30</v>
      </c>
      <c r="E40" s="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2">
        <v>39.0</v>
      </c>
      <c r="B41" s="33">
        <v>45678.0</v>
      </c>
      <c r="C41" s="4"/>
      <c r="D41" s="8"/>
      <c r="E41" s="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2">
        <v>40.0</v>
      </c>
      <c r="B42" s="33">
        <v>45677.0</v>
      </c>
      <c r="C42" s="4" t="s">
        <v>689</v>
      </c>
      <c r="D42" s="8" t="s">
        <v>11</v>
      </c>
      <c r="E42" s="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2">
        <v>41.0</v>
      </c>
      <c r="B43" s="33">
        <v>45678.0</v>
      </c>
      <c r="C43" s="4" t="s">
        <v>690</v>
      </c>
      <c r="D43" s="8" t="s">
        <v>136</v>
      </c>
      <c r="E43" s="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2">
        <v>42.0</v>
      </c>
      <c r="B44" s="33">
        <v>45678.0</v>
      </c>
      <c r="C44" s="4" t="s">
        <v>691</v>
      </c>
      <c r="D44" s="8" t="s">
        <v>11</v>
      </c>
      <c r="E44" s="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2">
        <v>43.0</v>
      </c>
      <c r="B45" s="33">
        <v>45678.0</v>
      </c>
      <c r="C45" s="4" t="s">
        <v>692</v>
      </c>
      <c r="D45" s="8" t="s">
        <v>11</v>
      </c>
      <c r="E45" s="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2">
        <v>44.0</v>
      </c>
      <c r="B46" s="33">
        <v>45678.0</v>
      </c>
      <c r="C46" s="4" t="s">
        <v>693</v>
      </c>
      <c r="D46" s="8" t="s">
        <v>13</v>
      </c>
      <c r="E46" s="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2">
        <v>45.0</v>
      </c>
      <c r="B47" s="33">
        <v>45678.0</v>
      </c>
      <c r="C47" s="4" t="s">
        <v>694</v>
      </c>
      <c r="D47" s="8" t="s">
        <v>29</v>
      </c>
      <c r="E47" s="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2">
        <v>46.0</v>
      </c>
      <c r="B48" s="33">
        <v>45678.0</v>
      </c>
      <c r="C48" s="4" t="s">
        <v>695</v>
      </c>
      <c r="D48" s="8" t="s">
        <v>25</v>
      </c>
      <c r="E48" s="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2">
        <v>47.0</v>
      </c>
      <c r="B49" s="33">
        <v>45679.0</v>
      </c>
      <c r="C49" s="4" t="s">
        <v>696</v>
      </c>
      <c r="D49" s="8" t="s">
        <v>11</v>
      </c>
      <c r="E49" s="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2">
        <v>48.0</v>
      </c>
      <c r="B50" s="33">
        <v>45680.0</v>
      </c>
      <c r="C50" s="4" t="s">
        <v>697</v>
      </c>
      <c r="D50" s="8" t="s">
        <v>11</v>
      </c>
      <c r="E50" s="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2">
        <v>49.0</v>
      </c>
      <c r="B51" s="33">
        <v>45680.0</v>
      </c>
      <c r="C51" s="4" t="s">
        <v>698</v>
      </c>
      <c r="D51" s="8" t="s">
        <v>11</v>
      </c>
      <c r="E51" s="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2">
        <v>50.0</v>
      </c>
      <c r="B52" s="33">
        <v>45680.0</v>
      </c>
      <c r="C52" s="4" t="s">
        <v>699</v>
      </c>
      <c r="D52" s="8" t="s">
        <v>578</v>
      </c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2">
        <v>51.0</v>
      </c>
      <c r="B53" s="33">
        <v>45680.0</v>
      </c>
      <c r="C53" s="4" t="s">
        <v>700</v>
      </c>
      <c r="D53" s="8" t="s">
        <v>162</v>
      </c>
      <c r="E53" s="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2">
        <v>52.0</v>
      </c>
      <c r="B54" s="33">
        <v>45681.0</v>
      </c>
      <c r="C54" s="4" t="s">
        <v>701</v>
      </c>
      <c r="D54" s="8" t="s">
        <v>29</v>
      </c>
      <c r="E54" s="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2">
        <v>53.0</v>
      </c>
      <c r="B55" s="33">
        <v>45681.0</v>
      </c>
      <c r="C55" s="4" t="s">
        <v>702</v>
      </c>
      <c r="D55" s="8" t="s">
        <v>136</v>
      </c>
      <c r="E55" s="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2">
        <v>54.0</v>
      </c>
      <c r="B56" s="33">
        <v>45684.0</v>
      </c>
      <c r="C56" s="4" t="s">
        <v>703</v>
      </c>
      <c r="D56" s="8" t="s">
        <v>11</v>
      </c>
      <c r="E56" s="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2">
        <v>55.0</v>
      </c>
      <c r="B57" s="33">
        <v>45681.0</v>
      </c>
      <c r="C57" s="4" t="s">
        <v>704</v>
      </c>
      <c r="D57" s="8" t="s">
        <v>11</v>
      </c>
      <c r="E57" s="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2">
        <v>56.0</v>
      </c>
      <c r="B58" s="33">
        <v>45684.0</v>
      </c>
      <c r="C58" s="4" t="s">
        <v>703</v>
      </c>
      <c r="D58" s="8" t="s">
        <v>11</v>
      </c>
      <c r="E58" s="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2">
        <v>57.0</v>
      </c>
      <c r="B59" s="33">
        <v>45684.0</v>
      </c>
      <c r="C59" s="4" t="s">
        <v>705</v>
      </c>
      <c r="D59" s="8" t="s">
        <v>29</v>
      </c>
      <c r="E59" s="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2">
        <v>58.0</v>
      </c>
      <c r="B60" s="33">
        <v>45684.0</v>
      </c>
      <c r="C60" s="4" t="s">
        <v>706</v>
      </c>
      <c r="D60" s="8" t="s">
        <v>29</v>
      </c>
      <c r="E60" s="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2">
        <v>59.0</v>
      </c>
      <c r="B61" s="33">
        <v>45684.0</v>
      </c>
      <c r="C61" s="4" t="s">
        <v>707</v>
      </c>
      <c r="D61" s="8" t="s">
        <v>25</v>
      </c>
      <c r="E61" s="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>
        <v>60.0</v>
      </c>
      <c r="B62" s="33">
        <v>45684.0</v>
      </c>
      <c r="C62" s="4" t="s">
        <v>708</v>
      </c>
      <c r="D62" s="8" t="s">
        <v>11</v>
      </c>
      <c r="E62" s="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2">
        <v>61.0</v>
      </c>
      <c r="B63" s="33">
        <v>45684.0</v>
      </c>
      <c r="C63" s="4" t="s">
        <v>709</v>
      </c>
      <c r="D63" s="8" t="s">
        <v>77</v>
      </c>
      <c r="E63" s="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2">
        <v>62.0</v>
      </c>
      <c r="B64" s="33">
        <v>45684.0</v>
      </c>
      <c r="C64" s="4" t="s">
        <v>710</v>
      </c>
      <c r="D64" s="8" t="s">
        <v>11</v>
      </c>
      <c r="E64" s="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2">
        <v>63.0</v>
      </c>
      <c r="B65" s="33" t="s">
        <v>711</v>
      </c>
      <c r="C65" s="4" t="s">
        <v>712</v>
      </c>
      <c r="D65" s="8"/>
      <c r="E65" s="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2">
        <v>64.0</v>
      </c>
      <c r="B66" s="33" t="s">
        <v>711</v>
      </c>
      <c r="C66" s="4" t="s">
        <v>712</v>
      </c>
      <c r="D66" s="8"/>
      <c r="E66" s="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2">
        <v>65.0</v>
      </c>
      <c r="B67" s="33" t="s">
        <v>711</v>
      </c>
      <c r="C67" s="4" t="s">
        <v>712</v>
      </c>
      <c r="D67" s="8"/>
      <c r="E67" s="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>
        <v>66.0</v>
      </c>
      <c r="B68" s="33">
        <v>45686.0</v>
      </c>
      <c r="C68" s="4" t="s">
        <v>713</v>
      </c>
      <c r="D68" s="8" t="s">
        <v>8</v>
      </c>
      <c r="E68" s="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2">
        <v>67.0</v>
      </c>
      <c r="B69" s="33">
        <v>45687.0</v>
      </c>
      <c r="C69" s="4" t="s">
        <v>714</v>
      </c>
      <c r="D69" s="8" t="s">
        <v>29</v>
      </c>
      <c r="E69" s="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2">
        <v>68.0</v>
      </c>
      <c r="B70" s="33">
        <v>45687.0</v>
      </c>
      <c r="C70" s="4" t="s">
        <v>715</v>
      </c>
      <c r="D70" s="8" t="s">
        <v>29</v>
      </c>
      <c r="E70" s="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2">
        <v>69.0</v>
      </c>
      <c r="B71" s="33">
        <v>45687.0</v>
      </c>
      <c r="C71" s="4" t="s">
        <v>716</v>
      </c>
      <c r="D71" s="8" t="s">
        <v>29</v>
      </c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2">
        <v>70.0</v>
      </c>
      <c r="B72" s="33">
        <v>45687.0</v>
      </c>
      <c r="C72" s="4" t="s">
        <v>717</v>
      </c>
      <c r="D72" s="8" t="s">
        <v>25</v>
      </c>
      <c r="E72" s="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2">
        <v>71.0</v>
      </c>
      <c r="B73" s="33">
        <v>45687.0</v>
      </c>
      <c r="C73" s="4" t="s">
        <v>718</v>
      </c>
      <c r="D73" s="8" t="s">
        <v>25</v>
      </c>
      <c r="E73" s="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2">
        <v>72.0</v>
      </c>
      <c r="B74" s="33">
        <v>45687.0</v>
      </c>
      <c r="C74" s="4" t="s">
        <v>719</v>
      </c>
      <c r="D74" s="8" t="s">
        <v>25</v>
      </c>
      <c r="E74" s="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2">
        <v>73.0</v>
      </c>
      <c r="B75" s="33">
        <v>45687.0</v>
      </c>
      <c r="C75" s="4" t="s">
        <v>720</v>
      </c>
      <c r="D75" s="8" t="s">
        <v>29</v>
      </c>
      <c r="E75" s="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2">
        <v>74.0</v>
      </c>
      <c r="B76" s="33">
        <v>45687.0</v>
      </c>
      <c r="C76" s="4" t="s">
        <v>721</v>
      </c>
      <c r="D76" s="8" t="s">
        <v>178</v>
      </c>
      <c r="E76" s="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2">
        <v>75.0</v>
      </c>
      <c r="B77" s="33">
        <v>45687.0</v>
      </c>
      <c r="C77" s="4" t="s">
        <v>721</v>
      </c>
      <c r="D77" s="8" t="s">
        <v>178</v>
      </c>
      <c r="E77" s="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2">
        <v>76.0</v>
      </c>
      <c r="B78" s="33">
        <v>45687.0</v>
      </c>
      <c r="C78" s="4" t="s">
        <v>722</v>
      </c>
      <c r="D78" s="8" t="s">
        <v>11</v>
      </c>
      <c r="E78" s="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2">
        <v>77.0</v>
      </c>
      <c r="B79" s="33">
        <v>45687.0</v>
      </c>
      <c r="C79" s="4" t="s">
        <v>723</v>
      </c>
      <c r="D79" s="8" t="s">
        <v>11</v>
      </c>
      <c r="E79" s="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2">
        <v>78.0</v>
      </c>
      <c r="B80" s="33">
        <v>45960.0</v>
      </c>
      <c r="C80" s="4" t="s">
        <v>724</v>
      </c>
      <c r="D80" s="8" t="s">
        <v>145</v>
      </c>
      <c r="E80" s="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2">
        <v>79.0</v>
      </c>
      <c r="B81" s="33">
        <v>45688.0</v>
      </c>
      <c r="C81" s="4" t="s">
        <v>707</v>
      </c>
      <c r="D81" s="8" t="s">
        <v>725</v>
      </c>
      <c r="E81" s="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2">
        <v>80.0</v>
      </c>
      <c r="B82" s="33">
        <v>45688.0</v>
      </c>
      <c r="C82" s="4" t="s">
        <v>726</v>
      </c>
      <c r="D82" s="8" t="s">
        <v>29</v>
      </c>
      <c r="E82" s="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2">
        <v>81.0</v>
      </c>
      <c r="B83" s="33">
        <v>45691.0</v>
      </c>
      <c r="C83" s="4" t="s">
        <v>727</v>
      </c>
      <c r="D83" s="8" t="s">
        <v>725</v>
      </c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2">
        <v>82.0</v>
      </c>
      <c r="B84" s="33">
        <v>45691.0</v>
      </c>
      <c r="C84" s="4" t="s">
        <v>659</v>
      </c>
      <c r="D84" s="8" t="s">
        <v>25</v>
      </c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2">
        <v>83.0</v>
      </c>
      <c r="B85" s="33">
        <v>45691.0</v>
      </c>
      <c r="C85" s="4" t="s">
        <v>728</v>
      </c>
      <c r="D85" s="8" t="s">
        <v>25</v>
      </c>
      <c r="E85" s="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2">
        <v>84.0</v>
      </c>
      <c r="B86" s="33">
        <v>45691.0</v>
      </c>
      <c r="C86" s="4" t="s">
        <v>729</v>
      </c>
      <c r="D86" s="8" t="s">
        <v>25</v>
      </c>
      <c r="E86" s="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2">
        <v>85.0</v>
      </c>
      <c r="B87" s="33">
        <v>45691.0</v>
      </c>
      <c r="C87" s="4" t="s">
        <v>730</v>
      </c>
      <c r="D87" s="8" t="s">
        <v>11</v>
      </c>
      <c r="E87" s="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2">
        <v>86.0</v>
      </c>
      <c r="B88" s="33">
        <v>45691.0</v>
      </c>
      <c r="C88" s="4" t="s">
        <v>721</v>
      </c>
      <c r="D88" s="8" t="s">
        <v>178</v>
      </c>
      <c r="E88" s="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2">
        <v>87.0</v>
      </c>
      <c r="B89" s="33">
        <v>45692.0</v>
      </c>
      <c r="C89" s="4" t="s">
        <v>721</v>
      </c>
      <c r="D89" s="8" t="s">
        <v>178</v>
      </c>
      <c r="E89" s="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2">
        <v>88.0</v>
      </c>
      <c r="B90" s="33">
        <v>45692.0</v>
      </c>
      <c r="C90" s="4" t="s">
        <v>661</v>
      </c>
      <c r="D90" s="8" t="s">
        <v>25</v>
      </c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2">
        <v>89.0</v>
      </c>
      <c r="B91" s="33">
        <v>45692.0</v>
      </c>
      <c r="C91" s="4" t="s">
        <v>661</v>
      </c>
      <c r="D91" s="8" t="s">
        <v>25</v>
      </c>
      <c r="E91" s="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2">
        <v>90.0</v>
      </c>
      <c r="B92" s="33">
        <v>45692.0</v>
      </c>
      <c r="C92" s="4" t="s">
        <v>731</v>
      </c>
      <c r="D92" s="8" t="s">
        <v>178</v>
      </c>
      <c r="E92" s="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2">
        <v>91.0</v>
      </c>
      <c r="B93" s="33">
        <v>45693.0</v>
      </c>
      <c r="C93" s="4" t="s">
        <v>732</v>
      </c>
      <c r="D93" s="8" t="s">
        <v>11</v>
      </c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2">
        <v>92.0</v>
      </c>
      <c r="B94" s="33">
        <v>45693.0</v>
      </c>
      <c r="C94" s="4" t="s">
        <v>733</v>
      </c>
      <c r="D94" s="8" t="s">
        <v>136</v>
      </c>
      <c r="E94" s="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2">
        <v>93.0</v>
      </c>
      <c r="B95" s="33">
        <v>45693.0</v>
      </c>
      <c r="C95" s="4" t="s">
        <v>734</v>
      </c>
      <c r="D95" s="8" t="s">
        <v>725</v>
      </c>
      <c r="E95" s="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2">
        <v>94.0</v>
      </c>
      <c r="B96" s="33">
        <v>45693.0</v>
      </c>
      <c r="C96" s="4" t="s">
        <v>735</v>
      </c>
      <c r="D96" s="8" t="s">
        <v>77</v>
      </c>
      <c r="E96" s="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2">
        <v>95.0</v>
      </c>
      <c r="B97" s="33">
        <v>45693.0</v>
      </c>
      <c r="C97" s="4" t="s">
        <v>736</v>
      </c>
      <c r="D97" s="8" t="s">
        <v>725</v>
      </c>
      <c r="E97" s="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2">
        <v>96.0</v>
      </c>
      <c r="B98" s="33">
        <v>45694.0</v>
      </c>
      <c r="C98" s="4" t="s">
        <v>737</v>
      </c>
      <c r="D98" s="8" t="s">
        <v>25</v>
      </c>
      <c r="E98" s="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2">
        <v>97.0</v>
      </c>
      <c r="B99" s="33">
        <v>45694.0</v>
      </c>
      <c r="C99" s="4" t="s">
        <v>738</v>
      </c>
      <c r="D99" s="8" t="s">
        <v>11</v>
      </c>
      <c r="E99" s="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2">
        <v>98.0</v>
      </c>
      <c r="B100" s="33">
        <v>45694.0</v>
      </c>
      <c r="C100" s="4" t="s">
        <v>739</v>
      </c>
      <c r="D100" s="8" t="s">
        <v>11</v>
      </c>
      <c r="E100" s="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2">
        <v>99.0</v>
      </c>
      <c r="B101" s="33">
        <v>45694.0</v>
      </c>
      <c r="C101" s="4" t="s">
        <v>740</v>
      </c>
      <c r="D101" s="8" t="s">
        <v>178</v>
      </c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2">
        <v>100.0</v>
      </c>
      <c r="B102" s="33">
        <v>45694.0</v>
      </c>
      <c r="C102" s="4" t="s">
        <v>740</v>
      </c>
      <c r="D102" s="8" t="s">
        <v>178</v>
      </c>
      <c r="E102" s="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2">
        <v>101.0</v>
      </c>
      <c r="B103" s="33">
        <v>45694.0</v>
      </c>
      <c r="C103" s="4" t="s">
        <v>741</v>
      </c>
      <c r="D103" s="8" t="s">
        <v>17</v>
      </c>
      <c r="E103" s="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2">
        <v>102.0</v>
      </c>
      <c r="B104" s="33">
        <v>45695.0</v>
      </c>
      <c r="C104" s="4"/>
      <c r="D104" s="8"/>
      <c r="E104" s="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2">
        <v>103.0</v>
      </c>
      <c r="B105" s="33">
        <v>45695.0</v>
      </c>
      <c r="C105" s="4" t="s">
        <v>742</v>
      </c>
      <c r="D105" s="8" t="s">
        <v>25</v>
      </c>
      <c r="E105" s="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2">
        <v>104.0</v>
      </c>
      <c r="B106" s="33">
        <v>45695.0</v>
      </c>
      <c r="C106" s="4" t="s">
        <v>743</v>
      </c>
      <c r="D106" s="8" t="s">
        <v>13</v>
      </c>
      <c r="E106" s="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2">
        <v>105.0</v>
      </c>
      <c r="B107" s="33">
        <v>45696.0</v>
      </c>
      <c r="C107" s="4" t="s">
        <v>744</v>
      </c>
      <c r="D107" s="8" t="s">
        <v>13</v>
      </c>
      <c r="E107" s="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2">
        <v>106.0</v>
      </c>
      <c r="B108" s="33">
        <v>45696.0</v>
      </c>
      <c r="C108" s="4" t="s">
        <v>744</v>
      </c>
      <c r="D108" s="8" t="s">
        <v>34</v>
      </c>
      <c r="E108" s="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2">
        <v>107.0</v>
      </c>
      <c r="B109" s="33">
        <v>45696.0</v>
      </c>
      <c r="C109" s="4" t="s">
        <v>744</v>
      </c>
      <c r="D109" s="8" t="s">
        <v>29</v>
      </c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2">
        <v>108.0</v>
      </c>
      <c r="B110" s="33">
        <v>45699.0</v>
      </c>
      <c r="C110" s="4" t="s">
        <v>661</v>
      </c>
      <c r="D110" s="8" t="s">
        <v>25</v>
      </c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2">
        <v>109.0</v>
      </c>
      <c r="B111" s="33">
        <v>45699.0</v>
      </c>
      <c r="C111" s="4" t="s">
        <v>745</v>
      </c>
      <c r="D111" s="8" t="s">
        <v>11</v>
      </c>
      <c r="E111" s="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2">
        <v>110.0</v>
      </c>
      <c r="B112" s="33">
        <v>45699.0</v>
      </c>
      <c r="C112" s="4" t="s">
        <v>746</v>
      </c>
      <c r="D112" s="8" t="s">
        <v>168</v>
      </c>
      <c r="E112" s="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2">
        <v>111.0</v>
      </c>
      <c r="B113" s="33">
        <v>45700.0</v>
      </c>
      <c r="C113" s="4" t="s">
        <v>747</v>
      </c>
      <c r="D113" s="8" t="s">
        <v>13</v>
      </c>
      <c r="E113" s="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2">
        <v>112.0</v>
      </c>
      <c r="B114" s="33">
        <v>45700.0</v>
      </c>
      <c r="C114" s="4" t="s">
        <v>748</v>
      </c>
      <c r="D114" s="8" t="s">
        <v>11</v>
      </c>
      <c r="E114" s="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2">
        <v>113.0</v>
      </c>
      <c r="B115" s="33">
        <v>45700.0</v>
      </c>
      <c r="C115" s="4"/>
      <c r="D115" s="8" t="s">
        <v>178</v>
      </c>
      <c r="E115" s="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2">
        <v>114.0</v>
      </c>
      <c r="B116" s="33">
        <v>45700.0</v>
      </c>
      <c r="C116" s="4" t="s">
        <v>748</v>
      </c>
      <c r="D116" s="8" t="s">
        <v>11</v>
      </c>
      <c r="E116" s="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2">
        <v>115.0</v>
      </c>
      <c r="B117" s="33">
        <v>45700.0</v>
      </c>
      <c r="C117" s="4" t="s">
        <v>749</v>
      </c>
      <c r="D117" s="8" t="s">
        <v>11</v>
      </c>
      <c r="E117" s="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2">
        <v>116.0</v>
      </c>
      <c r="B118" s="33">
        <v>45701.0</v>
      </c>
      <c r="C118" s="4" t="s">
        <v>750</v>
      </c>
      <c r="D118" s="8" t="s">
        <v>11</v>
      </c>
      <c r="E118" s="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2">
        <v>117.0</v>
      </c>
      <c r="B119" s="33">
        <v>45701.0</v>
      </c>
      <c r="C119" s="4" t="s">
        <v>751</v>
      </c>
      <c r="D119" s="8" t="s">
        <v>25</v>
      </c>
      <c r="E119" s="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2">
        <v>118.0</v>
      </c>
      <c r="B120" s="33">
        <v>45701.0</v>
      </c>
      <c r="C120" s="4" t="s">
        <v>752</v>
      </c>
      <c r="D120" s="8" t="s">
        <v>11</v>
      </c>
      <c r="E120" s="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2">
        <v>119.0</v>
      </c>
      <c r="B121" s="33">
        <v>45701.0</v>
      </c>
      <c r="C121" s="4" t="s">
        <v>753</v>
      </c>
      <c r="D121" s="8" t="s">
        <v>25</v>
      </c>
      <c r="E121" s="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2">
        <v>120.0</v>
      </c>
      <c r="B122" s="33">
        <v>45701.0</v>
      </c>
      <c r="C122" s="4" t="s">
        <v>754</v>
      </c>
      <c r="D122" s="8" t="s">
        <v>25</v>
      </c>
      <c r="E122" s="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2">
        <v>121.0</v>
      </c>
      <c r="B123" s="33">
        <v>45701.0</v>
      </c>
      <c r="C123" s="4" t="s">
        <v>659</v>
      </c>
      <c r="D123" s="8" t="s">
        <v>25</v>
      </c>
      <c r="E123" s="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2">
        <v>122.0</v>
      </c>
      <c r="B124" s="33">
        <v>45701.0</v>
      </c>
      <c r="C124" s="4" t="s">
        <v>661</v>
      </c>
      <c r="D124" s="8" t="s">
        <v>25</v>
      </c>
      <c r="E124" s="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2">
        <v>123.0</v>
      </c>
      <c r="B125" s="33">
        <v>45701.0</v>
      </c>
      <c r="C125" s="4" t="s">
        <v>755</v>
      </c>
      <c r="D125" s="8" t="s">
        <v>162</v>
      </c>
      <c r="E125" s="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2">
        <v>124.0</v>
      </c>
      <c r="B126" s="33">
        <v>45701.0</v>
      </c>
      <c r="C126" s="4" t="s">
        <v>756</v>
      </c>
      <c r="D126" s="8" t="s">
        <v>11</v>
      </c>
      <c r="E126" s="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2">
        <v>125.0</v>
      </c>
      <c r="B127" s="33">
        <v>45701.0</v>
      </c>
      <c r="C127" s="4" t="s">
        <v>757</v>
      </c>
      <c r="D127" s="8" t="s">
        <v>11</v>
      </c>
      <c r="E127" s="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2">
        <v>126.0</v>
      </c>
      <c r="B128" s="33">
        <v>45701.0</v>
      </c>
      <c r="C128" s="4" t="s">
        <v>758</v>
      </c>
      <c r="D128" s="8" t="s">
        <v>11</v>
      </c>
      <c r="E128" s="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2">
        <v>127.0</v>
      </c>
      <c r="B129" s="33">
        <v>45701.0</v>
      </c>
      <c r="C129" s="4" t="s">
        <v>759</v>
      </c>
      <c r="D129" s="8" t="s">
        <v>13</v>
      </c>
      <c r="E129" s="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2">
        <v>128.0</v>
      </c>
      <c r="B130" s="33">
        <v>45701.0</v>
      </c>
      <c r="C130" s="4" t="s">
        <v>760</v>
      </c>
      <c r="D130" s="8" t="s">
        <v>29</v>
      </c>
      <c r="E130" s="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2">
        <v>129.0</v>
      </c>
      <c r="B131" s="33">
        <v>45702.0</v>
      </c>
      <c r="C131" s="4" t="s">
        <v>761</v>
      </c>
      <c r="D131" s="8" t="s">
        <v>13</v>
      </c>
      <c r="E131" s="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2">
        <v>130.0</v>
      </c>
      <c r="B132" s="33">
        <v>45705.0</v>
      </c>
      <c r="C132" s="4" t="s">
        <v>762</v>
      </c>
      <c r="D132" s="8" t="s">
        <v>11</v>
      </c>
      <c r="E132" s="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2">
        <v>131.0</v>
      </c>
      <c r="B133" s="33">
        <v>45705.0</v>
      </c>
      <c r="C133" s="4" t="s">
        <v>763</v>
      </c>
      <c r="D133" s="8" t="s">
        <v>764</v>
      </c>
      <c r="E133" s="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2">
        <v>132.0</v>
      </c>
      <c r="B134" s="33">
        <v>45705.0</v>
      </c>
      <c r="C134" s="4" t="s">
        <v>765</v>
      </c>
      <c r="D134" s="8" t="s">
        <v>11</v>
      </c>
      <c r="E134" s="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2">
        <v>133.0</v>
      </c>
      <c r="B135" s="33">
        <v>45705.0</v>
      </c>
      <c r="C135" s="4" t="s">
        <v>766</v>
      </c>
      <c r="D135" s="8" t="s">
        <v>77</v>
      </c>
      <c r="E135" s="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2">
        <v>134.0</v>
      </c>
      <c r="B136" s="33">
        <v>45705.0</v>
      </c>
      <c r="C136" s="4" t="s">
        <v>766</v>
      </c>
      <c r="D136" s="8" t="s">
        <v>77</v>
      </c>
      <c r="E136" s="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2">
        <v>135.0</v>
      </c>
      <c r="B137" s="33">
        <v>45706.0</v>
      </c>
      <c r="C137" s="4" t="s">
        <v>767</v>
      </c>
      <c r="D137" s="8" t="s">
        <v>13</v>
      </c>
      <c r="E137" s="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2">
        <v>136.0</v>
      </c>
      <c r="B138" s="33">
        <v>45706.0</v>
      </c>
      <c r="C138" s="4" t="s">
        <v>768</v>
      </c>
      <c r="D138" s="8" t="s">
        <v>11</v>
      </c>
      <c r="E138" s="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2">
        <v>137.0</v>
      </c>
      <c r="B139" s="33">
        <v>45706.0</v>
      </c>
      <c r="C139" s="4" t="s">
        <v>768</v>
      </c>
      <c r="D139" s="8" t="s">
        <v>11</v>
      </c>
      <c r="E139" s="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2">
        <v>138.0</v>
      </c>
      <c r="B140" s="33">
        <v>45706.0</v>
      </c>
      <c r="C140" s="4" t="s">
        <v>769</v>
      </c>
      <c r="D140" s="8" t="s">
        <v>136</v>
      </c>
      <c r="E140" s="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2">
        <v>139.0</v>
      </c>
      <c r="B141" s="33">
        <v>45706.0</v>
      </c>
      <c r="C141" s="4" t="s">
        <v>770</v>
      </c>
      <c r="D141" s="8" t="s">
        <v>11</v>
      </c>
      <c r="E141" s="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2">
        <v>140.0</v>
      </c>
      <c r="B142" s="33">
        <v>45706.0</v>
      </c>
      <c r="C142" s="4" t="s">
        <v>771</v>
      </c>
      <c r="D142" s="8" t="s">
        <v>13</v>
      </c>
      <c r="E142" s="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2">
        <v>141.0</v>
      </c>
      <c r="B143" s="33">
        <v>45706.0</v>
      </c>
      <c r="C143" s="4"/>
      <c r="D143" s="8"/>
      <c r="E143" s="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2">
        <v>142.0</v>
      </c>
      <c r="B144" s="33">
        <v>45706.0</v>
      </c>
      <c r="C144" s="4" t="s">
        <v>772</v>
      </c>
      <c r="D144" s="8" t="s">
        <v>162</v>
      </c>
      <c r="E144" s="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2">
        <v>143.0</v>
      </c>
      <c r="B145" s="33">
        <v>45706.0</v>
      </c>
      <c r="C145" s="4" t="s">
        <v>773</v>
      </c>
      <c r="D145" s="8" t="s">
        <v>13</v>
      </c>
      <c r="E145" s="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2">
        <v>144.0</v>
      </c>
      <c r="B146" s="33">
        <v>45706.0</v>
      </c>
      <c r="C146" s="4" t="s">
        <v>774</v>
      </c>
      <c r="D146" s="8" t="s">
        <v>11</v>
      </c>
      <c r="E146" s="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2">
        <v>145.0</v>
      </c>
      <c r="B147" s="33">
        <v>45708.0</v>
      </c>
      <c r="C147" s="4" t="s">
        <v>775</v>
      </c>
      <c r="D147" s="8" t="s">
        <v>11</v>
      </c>
      <c r="E147" s="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2">
        <v>146.0</v>
      </c>
      <c r="B148" s="33">
        <v>45708.0</v>
      </c>
      <c r="C148" s="4" t="s">
        <v>776</v>
      </c>
      <c r="D148" s="8" t="s">
        <v>11</v>
      </c>
      <c r="E148" s="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>
        <v>147.0</v>
      </c>
      <c r="B149" s="33">
        <v>45708.0</v>
      </c>
      <c r="C149" s="4" t="s">
        <v>777</v>
      </c>
      <c r="D149" s="8" t="s">
        <v>11</v>
      </c>
      <c r="E149" s="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2">
        <v>148.0</v>
      </c>
      <c r="B150" s="33">
        <v>45709.0</v>
      </c>
      <c r="C150" s="4" t="s">
        <v>778</v>
      </c>
      <c r="D150" s="8" t="s">
        <v>25</v>
      </c>
      <c r="E150" s="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2">
        <v>149.0</v>
      </c>
      <c r="B151" s="33">
        <v>45709.0</v>
      </c>
      <c r="C151" s="4" t="s">
        <v>779</v>
      </c>
      <c r="D151" s="8" t="s">
        <v>11</v>
      </c>
      <c r="E151" s="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2">
        <v>150.0</v>
      </c>
      <c r="B152" s="33">
        <v>45709.0</v>
      </c>
      <c r="C152" s="4" t="s">
        <v>780</v>
      </c>
      <c r="D152" s="8" t="s">
        <v>11</v>
      </c>
      <c r="E152" s="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2">
        <v>151.0</v>
      </c>
      <c r="B153" s="33">
        <v>45709.0</v>
      </c>
      <c r="C153" s="4" t="s">
        <v>781</v>
      </c>
      <c r="D153" s="8" t="s">
        <v>178</v>
      </c>
      <c r="E153" s="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2">
        <v>152.0</v>
      </c>
      <c r="B154" s="33">
        <v>45712.0</v>
      </c>
      <c r="C154" s="4" t="s">
        <v>782</v>
      </c>
      <c r="D154" s="8" t="s">
        <v>13</v>
      </c>
      <c r="E154" s="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2">
        <v>153.0</v>
      </c>
      <c r="B155" s="33">
        <v>45712.0</v>
      </c>
      <c r="C155" s="4" t="s">
        <v>783</v>
      </c>
      <c r="D155" s="8" t="s">
        <v>11</v>
      </c>
      <c r="E155" s="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2">
        <v>154.0</v>
      </c>
      <c r="B156" s="33">
        <v>45712.0</v>
      </c>
      <c r="C156" s="4" t="s">
        <v>784</v>
      </c>
      <c r="D156" s="8" t="s">
        <v>11</v>
      </c>
      <c r="E156" s="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2">
        <v>155.0</v>
      </c>
      <c r="B157" s="33">
        <v>45712.0</v>
      </c>
      <c r="C157" s="4" t="s">
        <v>785</v>
      </c>
      <c r="D157" s="8" t="s">
        <v>11</v>
      </c>
      <c r="E157" s="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2">
        <v>156.0</v>
      </c>
      <c r="B158" s="33">
        <v>45712.0</v>
      </c>
      <c r="C158" s="4" t="s">
        <v>786</v>
      </c>
      <c r="D158" s="8" t="s">
        <v>11</v>
      </c>
      <c r="E158" s="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2">
        <v>157.0</v>
      </c>
      <c r="B159" s="33">
        <v>45712.0</v>
      </c>
      <c r="C159" s="4" t="s">
        <v>787</v>
      </c>
      <c r="D159" s="8" t="s">
        <v>11</v>
      </c>
      <c r="E159" s="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2">
        <v>158.0</v>
      </c>
      <c r="B160" s="33">
        <v>45712.0</v>
      </c>
      <c r="C160" s="4" t="s">
        <v>788</v>
      </c>
      <c r="D160" s="4" t="s">
        <v>11</v>
      </c>
      <c r="E160" s="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2">
        <v>159.0</v>
      </c>
      <c r="B161" s="33">
        <v>45712.0</v>
      </c>
      <c r="C161" s="4" t="s">
        <v>789</v>
      </c>
      <c r="D161" s="8" t="s">
        <v>11</v>
      </c>
      <c r="E161" s="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2">
        <v>160.0</v>
      </c>
      <c r="B162" s="33">
        <v>45712.0</v>
      </c>
      <c r="C162" s="4" t="s">
        <v>790</v>
      </c>
      <c r="D162" s="8" t="s">
        <v>11</v>
      </c>
      <c r="E162" s="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2">
        <v>161.0</v>
      </c>
      <c r="B163" s="33" t="s">
        <v>711</v>
      </c>
      <c r="C163" s="4" t="s">
        <v>791</v>
      </c>
      <c r="D163" s="8"/>
      <c r="E163" s="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2">
        <v>162.0</v>
      </c>
      <c r="B164" s="33">
        <v>45713.0</v>
      </c>
      <c r="C164" s="4" t="s">
        <v>792</v>
      </c>
      <c r="D164" s="8" t="s">
        <v>168</v>
      </c>
      <c r="E164" s="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2">
        <v>163.0</v>
      </c>
      <c r="B165" s="33">
        <v>45713.0</v>
      </c>
      <c r="C165" s="4" t="s">
        <v>793</v>
      </c>
      <c r="D165" s="8" t="s">
        <v>11</v>
      </c>
      <c r="E165" s="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2">
        <v>164.0</v>
      </c>
      <c r="B166" s="33">
        <v>45713.0</v>
      </c>
      <c r="C166" s="4" t="s">
        <v>794</v>
      </c>
      <c r="D166" s="8" t="s">
        <v>11</v>
      </c>
      <c r="E166" s="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2">
        <v>165.0</v>
      </c>
      <c r="B167" s="33">
        <v>45714.0</v>
      </c>
      <c r="C167" s="4" t="s">
        <v>795</v>
      </c>
      <c r="D167" s="8" t="s">
        <v>11</v>
      </c>
      <c r="E167" s="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2">
        <v>166.0</v>
      </c>
      <c r="B168" s="33">
        <v>45714.0</v>
      </c>
      <c r="C168" s="4" t="s">
        <v>796</v>
      </c>
      <c r="D168" s="8" t="s">
        <v>30</v>
      </c>
      <c r="E168" s="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2">
        <v>167.0</v>
      </c>
      <c r="B169" s="33">
        <v>45714.0</v>
      </c>
      <c r="C169" s="4" t="s">
        <v>797</v>
      </c>
      <c r="D169" s="8" t="s">
        <v>11</v>
      </c>
      <c r="E169" s="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2">
        <v>168.0</v>
      </c>
      <c r="B170" s="33">
        <v>45715.0</v>
      </c>
      <c r="C170" s="4" t="s">
        <v>798</v>
      </c>
      <c r="D170" s="8" t="s">
        <v>11</v>
      </c>
      <c r="E170" s="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2">
        <v>169.0</v>
      </c>
      <c r="B171" s="33">
        <v>45715.0</v>
      </c>
      <c r="C171" s="4" t="s">
        <v>799</v>
      </c>
      <c r="D171" s="8" t="s">
        <v>11</v>
      </c>
      <c r="E171" s="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2">
        <v>170.0</v>
      </c>
      <c r="B172" s="33">
        <v>45715.0</v>
      </c>
      <c r="C172" s="4" t="s">
        <v>800</v>
      </c>
      <c r="D172" s="8" t="s">
        <v>13</v>
      </c>
      <c r="E172" s="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2">
        <v>171.0</v>
      </c>
      <c r="B173" s="33">
        <v>45715.0</v>
      </c>
      <c r="C173" s="4" t="s">
        <v>801</v>
      </c>
      <c r="D173" s="8" t="s">
        <v>13</v>
      </c>
      <c r="E173" s="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2">
        <v>172.0</v>
      </c>
      <c r="B174" s="33">
        <v>45715.0</v>
      </c>
      <c r="C174" s="4" t="s">
        <v>802</v>
      </c>
      <c r="D174" s="8" t="s">
        <v>25</v>
      </c>
      <c r="E174" s="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2">
        <v>173.0</v>
      </c>
      <c r="B175" s="33">
        <v>45715.0</v>
      </c>
      <c r="C175" s="4" t="s">
        <v>800</v>
      </c>
      <c r="D175" s="8" t="s">
        <v>13</v>
      </c>
      <c r="E175" s="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2">
        <v>174.0</v>
      </c>
      <c r="B176" s="33">
        <v>45715.0</v>
      </c>
      <c r="C176" s="4" t="s">
        <v>803</v>
      </c>
      <c r="D176" s="8" t="s">
        <v>13</v>
      </c>
      <c r="E176" s="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2">
        <v>175.0</v>
      </c>
      <c r="B177" s="33">
        <v>45715.0</v>
      </c>
      <c r="C177" s="4" t="s">
        <v>804</v>
      </c>
      <c r="D177" s="8" t="s">
        <v>30</v>
      </c>
      <c r="E177" s="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2">
        <v>176.0</v>
      </c>
      <c r="B178" s="33">
        <v>45715.0</v>
      </c>
      <c r="C178" s="4" t="s">
        <v>805</v>
      </c>
      <c r="D178" s="8" t="s">
        <v>77</v>
      </c>
      <c r="E178" s="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2">
        <v>177.0</v>
      </c>
      <c r="B179" s="33">
        <v>45715.0</v>
      </c>
      <c r="C179" s="4" t="s">
        <v>806</v>
      </c>
      <c r="D179" s="8" t="s">
        <v>25</v>
      </c>
      <c r="E179" s="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2">
        <v>178.0</v>
      </c>
      <c r="B180" s="33">
        <v>45715.0</v>
      </c>
      <c r="C180" s="4" t="s">
        <v>807</v>
      </c>
      <c r="D180" s="8" t="s">
        <v>11</v>
      </c>
      <c r="E180" s="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2">
        <v>179.0</v>
      </c>
      <c r="B181" s="33">
        <v>45715.0</v>
      </c>
      <c r="C181" s="4" t="s">
        <v>808</v>
      </c>
      <c r="D181" s="8" t="s">
        <v>136</v>
      </c>
      <c r="E181" s="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2">
        <v>180.0</v>
      </c>
      <c r="B182" s="33">
        <v>45715.0</v>
      </c>
      <c r="C182" s="4" t="s">
        <v>809</v>
      </c>
      <c r="D182" s="8" t="s">
        <v>136</v>
      </c>
      <c r="E182" s="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2">
        <v>181.0</v>
      </c>
      <c r="B183" s="33">
        <v>45715.0</v>
      </c>
      <c r="C183" s="4" t="s">
        <v>810</v>
      </c>
      <c r="D183" s="8" t="s">
        <v>136</v>
      </c>
      <c r="E183" s="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2">
        <v>182.0</v>
      </c>
      <c r="B184" s="33">
        <v>45715.0</v>
      </c>
      <c r="C184" s="4" t="s">
        <v>811</v>
      </c>
      <c r="D184" s="8" t="s">
        <v>136</v>
      </c>
      <c r="E184" s="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2">
        <v>183.0</v>
      </c>
      <c r="B185" s="33" t="s">
        <v>812</v>
      </c>
      <c r="C185" s="4" t="s">
        <v>813</v>
      </c>
      <c r="D185" s="8" t="s">
        <v>11</v>
      </c>
      <c r="E185" s="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2">
        <v>184.0</v>
      </c>
      <c r="B186" s="33">
        <v>45716.0</v>
      </c>
      <c r="C186" s="4" t="s">
        <v>814</v>
      </c>
      <c r="D186" s="8" t="s">
        <v>30</v>
      </c>
      <c r="E186" s="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2">
        <v>185.0</v>
      </c>
      <c r="B187" s="33">
        <v>45723.0</v>
      </c>
      <c r="C187" s="4" t="s">
        <v>815</v>
      </c>
      <c r="D187" s="8" t="s">
        <v>11</v>
      </c>
      <c r="E187" s="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2">
        <v>186.0</v>
      </c>
      <c r="B188" s="33">
        <v>45723.0</v>
      </c>
      <c r="C188" s="4" t="s">
        <v>816</v>
      </c>
      <c r="D188" s="8" t="s">
        <v>11</v>
      </c>
      <c r="E188" s="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2">
        <v>187.0</v>
      </c>
      <c r="B189" s="33">
        <v>45723.0</v>
      </c>
      <c r="C189" s="4"/>
      <c r="D189" s="8" t="s">
        <v>13</v>
      </c>
      <c r="E189" s="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2">
        <v>188.0</v>
      </c>
      <c r="B190" s="33">
        <v>45723.0</v>
      </c>
      <c r="C190" s="4" t="s">
        <v>817</v>
      </c>
      <c r="D190" s="8" t="s">
        <v>13</v>
      </c>
      <c r="E190" s="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2">
        <v>189.0</v>
      </c>
      <c r="B191" s="33">
        <v>45723.0</v>
      </c>
      <c r="C191" s="4" t="s">
        <v>818</v>
      </c>
      <c r="D191" s="8" t="s">
        <v>162</v>
      </c>
      <c r="E191" s="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2">
        <v>190.0</v>
      </c>
      <c r="B192" s="33">
        <v>45723.0</v>
      </c>
      <c r="C192" s="4" t="s">
        <v>819</v>
      </c>
      <c r="D192" s="8" t="s">
        <v>11</v>
      </c>
      <c r="E192" s="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2">
        <v>191.0</v>
      </c>
      <c r="B193" s="33">
        <v>45723.0</v>
      </c>
      <c r="C193" s="4"/>
      <c r="D193" s="8"/>
      <c r="E193" s="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2">
        <v>192.0</v>
      </c>
      <c r="B194" s="33">
        <v>45723.0</v>
      </c>
      <c r="C194" s="4" t="s">
        <v>820</v>
      </c>
      <c r="D194" s="8" t="s">
        <v>136</v>
      </c>
      <c r="E194" s="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2">
        <v>193.0</v>
      </c>
      <c r="B195" s="33">
        <v>45723.0</v>
      </c>
      <c r="C195" s="4" t="s">
        <v>821</v>
      </c>
      <c r="D195" s="8" t="s">
        <v>11</v>
      </c>
      <c r="E195" s="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2">
        <v>194.0</v>
      </c>
      <c r="B196" s="33">
        <v>45723.0</v>
      </c>
      <c r="C196" s="4" t="s">
        <v>822</v>
      </c>
      <c r="D196" s="8" t="s">
        <v>11</v>
      </c>
      <c r="E196" s="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2">
        <v>195.0</v>
      </c>
      <c r="B197" s="33">
        <v>45726.0</v>
      </c>
      <c r="C197" s="4" t="s">
        <v>823</v>
      </c>
      <c r="D197" s="8" t="s">
        <v>25</v>
      </c>
      <c r="E197" s="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2">
        <v>196.0</v>
      </c>
      <c r="B198" s="33">
        <v>45726.0</v>
      </c>
      <c r="C198" s="4" t="s">
        <v>824</v>
      </c>
      <c r="D198" s="8" t="s">
        <v>25</v>
      </c>
      <c r="E198" s="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2">
        <v>197.0</v>
      </c>
      <c r="B199" s="33">
        <v>45726.0</v>
      </c>
      <c r="C199" s="4" t="s">
        <v>825</v>
      </c>
      <c r="D199" s="8" t="s">
        <v>11</v>
      </c>
      <c r="E199" s="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2">
        <v>198.0</v>
      </c>
      <c r="B200" s="33">
        <v>45726.0</v>
      </c>
      <c r="C200" s="4" t="s">
        <v>826</v>
      </c>
      <c r="D200" s="8" t="s">
        <v>11</v>
      </c>
      <c r="E200" s="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>
        <v>199.0</v>
      </c>
      <c r="B201" s="33">
        <v>45726.0</v>
      </c>
      <c r="C201" s="4" t="s">
        <v>781</v>
      </c>
      <c r="D201" s="8" t="s">
        <v>178</v>
      </c>
      <c r="E201" s="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2">
        <v>200.0</v>
      </c>
      <c r="B202" s="33">
        <v>45726.0</v>
      </c>
      <c r="C202" s="4" t="s">
        <v>827</v>
      </c>
      <c r="D202" s="8" t="s">
        <v>162</v>
      </c>
      <c r="E202" s="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2">
        <v>201.0</v>
      </c>
      <c r="B203" s="33">
        <v>45726.0</v>
      </c>
      <c r="C203" s="4" t="s">
        <v>828</v>
      </c>
      <c r="D203" s="8" t="s">
        <v>829</v>
      </c>
      <c r="E203" s="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2">
        <v>202.0</v>
      </c>
      <c r="B204" s="33">
        <v>45726.0</v>
      </c>
      <c r="C204" s="4" t="s">
        <v>828</v>
      </c>
      <c r="D204" s="8" t="s">
        <v>764</v>
      </c>
      <c r="E204" s="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2">
        <v>203.0</v>
      </c>
      <c r="B205" s="33" t="s">
        <v>830</v>
      </c>
      <c r="C205" s="4" t="s">
        <v>831</v>
      </c>
      <c r="D205" s="8" t="s">
        <v>764</v>
      </c>
      <c r="E205" s="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2">
        <v>204.0</v>
      </c>
      <c r="B206" s="33">
        <v>45727.0</v>
      </c>
      <c r="C206" s="4" t="s">
        <v>832</v>
      </c>
      <c r="D206" s="8" t="s">
        <v>25</v>
      </c>
      <c r="E206" s="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2">
        <v>205.0</v>
      </c>
      <c r="B207" s="33">
        <v>45727.0</v>
      </c>
      <c r="C207" s="4" t="s">
        <v>833</v>
      </c>
      <c r="D207" s="8" t="s">
        <v>136</v>
      </c>
      <c r="E207" s="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2">
        <v>206.0</v>
      </c>
      <c r="B208" s="33">
        <v>45727.0</v>
      </c>
      <c r="C208" s="4" t="s">
        <v>834</v>
      </c>
      <c r="D208" s="8" t="s">
        <v>11</v>
      </c>
      <c r="E208" s="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2">
        <v>207.0</v>
      </c>
      <c r="B209" s="33">
        <v>45727.0</v>
      </c>
      <c r="C209" s="4" t="s">
        <v>835</v>
      </c>
      <c r="D209" s="8" t="s">
        <v>11</v>
      </c>
      <c r="E209" s="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2">
        <v>208.0</v>
      </c>
      <c r="B210" s="33">
        <v>45727.0</v>
      </c>
      <c r="C210" s="4" t="s">
        <v>836</v>
      </c>
      <c r="D210" s="8" t="s">
        <v>25</v>
      </c>
      <c r="E210" s="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2">
        <v>209.0</v>
      </c>
      <c r="B211" s="33">
        <v>45727.0</v>
      </c>
      <c r="C211" s="4" t="s">
        <v>837</v>
      </c>
      <c r="D211" s="8" t="s">
        <v>11</v>
      </c>
      <c r="E211" s="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2">
        <v>210.0</v>
      </c>
      <c r="B212" s="33">
        <v>45728.0</v>
      </c>
      <c r="C212" s="4" t="s">
        <v>838</v>
      </c>
      <c r="D212" s="8" t="s">
        <v>11</v>
      </c>
      <c r="E212" s="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2">
        <v>211.0</v>
      </c>
      <c r="B213" s="33">
        <v>45728.0</v>
      </c>
      <c r="C213" s="4" t="s">
        <v>839</v>
      </c>
      <c r="D213" s="8" t="s">
        <v>11</v>
      </c>
      <c r="E213" s="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2">
        <v>212.0</v>
      </c>
      <c r="B214" s="33">
        <v>45728.0</v>
      </c>
      <c r="C214" s="4" t="s">
        <v>840</v>
      </c>
      <c r="D214" s="8" t="s">
        <v>13</v>
      </c>
      <c r="E214" s="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2">
        <v>213.0</v>
      </c>
      <c r="B215" s="33">
        <v>45728.0</v>
      </c>
      <c r="C215" s="4" t="s">
        <v>841</v>
      </c>
      <c r="D215" s="8" t="s">
        <v>13</v>
      </c>
      <c r="E215" s="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2">
        <v>214.0</v>
      </c>
      <c r="B216" s="33">
        <v>45728.0</v>
      </c>
      <c r="C216" s="4" t="s">
        <v>842</v>
      </c>
      <c r="D216" s="8" t="s">
        <v>11</v>
      </c>
      <c r="E216" s="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2">
        <v>215.0</v>
      </c>
      <c r="B217" s="33">
        <v>45728.0</v>
      </c>
      <c r="C217" s="4" t="s">
        <v>843</v>
      </c>
      <c r="D217" s="8" t="s">
        <v>11</v>
      </c>
      <c r="E217" s="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2">
        <v>216.0</v>
      </c>
      <c r="B218" s="33">
        <v>45728.0</v>
      </c>
      <c r="C218" s="4" t="s">
        <v>844</v>
      </c>
      <c r="D218" s="8" t="s">
        <v>11</v>
      </c>
      <c r="E218" s="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2">
        <v>217.0</v>
      </c>
      <c r="B219" s="33">
        <v>45728.0</v>
      </c>
      <c r="C219" s="4" t="s">
        <v>845</v>
      </c>
      <c r="D219" s="8" t="s">
        <v>162</v>
      </c>
      <c r="E219" s="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2">
        <v>218.0</v>
      </c>
      <c r="B220" s="33">
        <v>45728.0</v>
      </c>
      <c r="C220" s="4" t="s">
        <v>846</v>
      </c>
      <c r="D220" s="8" t="s">
        <v>162</v>
      </c>
      <c r="E220" s="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2">
        <v>219.0</v>
      </c>
      <c r="B221" s="33">
        <v>45728.0</v>
      </c>
      <c r="C221" s="4" t="s">
        <v>847</v>
      </c>
      <c r="D221" s="8" t="s">
        <v>162</v>
      </c>
      <c r="E221" s="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2">
        <v>220.0</v>
      </c>
      <c r="B222" s="33">
        <v>45728.0</v>
      </c>
      <c r="C222" s="4" t="s">
        <v>848</v>
      </c>
      <c r="D222" s="8" t="s">
        <v>30</v>
      </c>
      <c r="E222" s="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2">
        <v>221.0</v>
      </c>
      <c r="B223" s="33">
        <v>45728.0</v>
      </c>
      <c r="C223" s="4" t="s">
        <v>849</v>
      </c>
      <c r="D223" s="8" t="s">
        <v>8</v>
      </c>
      <c r="E223" s="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2">
        <v>222.0</v>
      </c>
      <c r="B224" s="33" t="s">
        <v>850</v>
      </c>
      <c r="C224" s="4" t="s">
        <v>851</v>
      </c>
      <c r="D224" s="8" t="s">
        <v>11</v>
      </c>
      <c r="E224" s="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2">
        <v>223.0</v>
      </c>
      <c r="B225" s="33">
        <v>45728.0</v>
      </c>
      <c r="C225" s="4" t="s">
        <v>852</v>
      </c>
      <c r="D225" s="8" t="s">
        <v>168</v>
      </c>
      <c r="E225" s="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2">
        <v>224.0</v>
      </c>
      <c r="B226" s="33">
        <v>45728.0</v>
      </c>
      <c r="C226" s="4" t="s">
        <v>853</v>
      </c>
      <c r="D226" s="8" t="s">
        <v>11</v>
      </c>
      <c r="E226" s="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2">
        <v>225.0</v>
      </c>
      <c r="B227" s="33">
        <v>45729.0</v>
      </c>
      <c r="C227" s="4" t="s">
        <v>751</v>
      </c>
      <c r="D227" s="8" t="s">
        <v>25</v>
      </c>
      <c r="E227" s="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2">
        <v>226.0</v>
      </c>
      <c r="B228" s="33">
        <v>45729.0</v>
      </c>
      <c r="C228" s="4" t="s">
        <v>854</v>
      </c>
      <c r="D228" s="8" t="s">
        <v>11</v>
      </c>
      <c r="E228" s="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2">
        <v>227.0</v>
      </c>
      <c r="B229" s="33">
        <v>45729.0</v>
      </c>
      <c r="C229" s="4"/>
      <c r="D229" s="8" t="s">
        <v>168</v>
      </c>
      <c r="E229" s="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2">
        <v>228.0</v>
      </c>
      <c r="B230" s="33">
        <v>45729.0</v>
      </c>
      <c r="C230" s="4" t="s">
        <v>855</v>
      </c>
      <c r="D230" s="8" t="s">
        <v>13</v>
      </c>
      <c r="E230" s="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2">
        <v>229.0</v>
      </c>
      <c r="B231" s="33">
        <v>45730.0</v>
      </c>
      <c r="C231" s="4"/>
      <c r="D231" s="8" t="s">
        <v>30</v>
      </c>
      <c r="E231" s="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2">
        <v>230.0</v>
      </c>
      <c r="B232" s="33">
        <v>45730.0</v>
      </c>
      <c r="C232" s="4"/>
      <c r="D232" s="8" t="s">
        <v>30</v>
      </c>
      <c r="E232" s="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2">
        <v>231.0</v>
      </c>
      <c r="B233" s="33">
        <v>45730.0</v>
      </c>
      <c r="C233" s="4" t="s">
        <v>856</v>
      </c>
      <c r="D233" s="8" t="s">
        <v>11</v>
      </c>
      <c r="E233" s="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>
        <v>232.0</v>
      </c>
      <c r="B234" s="33">
        <v>45730.0</v>
      </c>
      <c r="C234" s="4" t="s">
        <v>857</v>
      </c>
      <c r="D234" s="8" t="s">
        <v>11</v>
      </c>
      <c r="E234" s="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2">
        <v>233.0</v>
      </c>
      <c r="B235" s="33">
        <v>45730.0</v>
      </c>
      <c r="C235" s="4" t="s">
        <v>858</v>
      </c>
      <c r="D235" s="8" t="s">
        <v>11</v>
      </c>
      <c r="E235" s="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2">
        <v>234.0</v>
      </c>
      <c r="B236" s="33">
        <v>45730.0</v>
      </c>
      <c r="C236" s="4" t="s">
        <v>859</v>
      </c>
      <c r="D236" s="8" t="s">
        <v>136</v>
      </c>
      <c r="E236" s="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2">
        <v>235.0</v>
      </c>
      <c r="B237" s="33">
        <v>45730.0</v>
      </c>
      <c r="C237" s="4" t="s">
        <v>860</v>
      </c>
      <c r="D237" s="8" t="s">
        <v>11</v>
      </c>
      <c r="E237" s="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2">
        <v>236.0</v>
      </c>
      <c r="B238" s="33">
        <v>45730.0</v>
      </c>
      <c r="C238" s="4" t="s">
        <v>861</v>
      </c>
      <c r="D238" s="8" t="s">
        <v>11</v>
      </c>
      <c r="E238" s="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2">
        <v>237.0</v>
      </c>
      <c r="B239" s="33">
        <v>45730.0</v>
      </c>
      <c r="C239" s="4" t="s">
        <v>862</v>
      </c>
      <c r="D239" s="8" t="s">
        <v>13</v>
      </c>
      <c r="E239" s="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2">
        <v>238.0</v>
      </c>
      <c r="B240" s="33">
        <v>45730.0</v>
      </c>
      <c r="C240" s="4" t="s">
        <v>863</v>
      </c>
      <c r="D240" s="8" t="s">
        <v>168</v>
      </c>
      <c r="E240" s="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2">
        <v>239.0</v>
      </c>
      <c r="B241" s="33">
        <v>45733.0</v>
      </c>
      <c r="C241" s="4" t="s">
        <v>778</v>
      </c>
      <c r="D241" s="8" t="s">
        <v>25</v>
      </c>
      <c r="E241" s="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2">
        <v>240.0</v>
      </c>
      <c r="B242" s="33">
        <v>45733.0</v>
      </c>
      <c r="C242" s="4" t="s">
        <v>864</v>
      </c>
      <c r="D242" s="8" t="s">
        <v>13</v>
      </c>
      <c r="E242" s="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2">
        <v>241.0</v>
      </c>
      <c r="B243" s="33">
        <v>45733.0</v>
      </c>
      <c r="C243" s="4" t="s">
        <v>820</v>
      </c>
      <c r="D243" s="8" t="s">
        <v>136</v>
      </c>
      <c r="E243" s="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2">
        <v>242.0</v>
      </c>
      <c r="B244" s="33">
        <v>45733.0</v>
      </c>
      <c r="C244" s="4" t="s">
        <v>841</v>
      </c>
      <c r="D244" s="8" t="s">
        <v>13</v>
      </c>
      <c r="E244" s="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2">
        <v>243.0</v>
      </c>
      <c r="B245" s="33">
        <v>45733.0</v>
      </c>
      <c r="C245" s="4" t="s">
        <v>865</v>
      </c>
      <c r="D245" s="8" t="s">
        <v>22</v>
      </c>
      <c r="E245" s="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2">
        <v>244.0</v>
      </c>
      <c r="B246" s="33">
        <v>45733.0</v>
      </c>
      <c r="C246" s="4" t="s">
        <v>778</v>
      </c>
      <c r="D246" s="8" t="s">
        <v>25</v>
      </c>
      <c r="E246" s="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2">
        <v>245.0</v>
      </c>
      <c r="B247" s="33">
        <v>45733.0</v>
      </c>
      <c r="C247" s="4" t="s">
        <v>851</v>
      </c>
      <c r="D247" s="8" t="s">
        <v>17</v>
      </c>
      <c r="E247" s="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2">
        <v>246.0</v>
      </c>
      <c r="B248" s="33">
        <v>45733.0</v>
      </c>
      <c r="C248" s="4" t="s">
        <v>866</v>
      </c>
      <c r="D248" s="8" t="s">
        <v>867</v>
      </c>
      <c r="E248" s="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2">
        <v>247.0</v>
      </c>
      <c r="B249" s="33">
        <v>45733.0</v>
      </c>
      <c r="C249" s="4" t="s">
        <v>868</v>
      </c>
      <c r="D249" s="8" t="s">
        <v>30</v>
      </c>
      <c r="E249" s="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2">
        <v>248.0</v>
      </c>
      <c r="B250" s="33">
        <v>45733.0</v>
      </c>
      <c r="C250" s="4" t="s">
        <v>869</v>
      </c>
      <c r="D250" s="8" t="s">
        <v>11</v>
      </c>
      <c r="E250" s="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2">
        <v>249.0</v>
      </c>
      <c r="B251" s="33">
        <v>45733.0</v>
      </c>
      <c r="C251" s="4" t="s">
        <v>870</v>
      </c>
      <c r="D251" s="8" t="s">
        <v>30</v>
      </c>
      <c r="E251" s="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2">
        <v>250.0</v>
      </c>
      <c r="B252" s="33">
        <v>45733.0</v>
      </c>
      <c r="C252" s="4" t="s">
        <v>871</v>
      </c>
      <c r="D252" s="8" t="s">
        <v>136</v>
      </c>
      <c r="E252" s="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2">
        <v>251.0</v>
      </c>
      <c r="B253" s="33">
        <v>45733.0</v>
      </c>
      <c r="C253" s="4" t="s">
        <v>872</v>
      </c>
      <c r="D253" s="8" t="s">
        <v>69</v>
      </c>
      <c r="E253" s="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2">
        <v>252.0</v>
      </c>
      <c r="B254" s="33">
        <v>45734.0</v>
      </c>
      <c r="C254" s="4" t="s">
        <v>661</v>
      </c>
      <c r="D254" s="8" t="s">
        <v>25</v>
      </c>
      <c r="E254" s="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2">
        <v>253.0</v>
      </c>
      <c r="B255" s="33">
        <v>45734.0</v>
      </c>
      <c r="C255" s="4" t="s">
        <v>873</v>
      </c>
      <c r="D255" s="8" t="s">
        <v>25</v>
      </c>
      <c r="E255" s="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2">
        <v>254.0</v>
      </c>
      <c r="B256" s="33">
        <v>45734.0</v>
      </c>
      <c r="C256" s="4" t="s">
        <v>874</v>
      </c>
      <c r="D256" s="8" t="s">
        <v>11</v>
      </c>
      <c r="E256" s="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2">
        <v>255.0</v>
      </c>
      <c r="B257" s="33">
        <v>45734.0</v>
      </c>
      <c r="C257" s="4" t="s">
        <v>870</v>
      </c>
      <c r="D257" s="8" t="s">
        <v>11</v>
      </c>
      <c r="E257" s="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2">
        <v>256.0</v>
      </c>
      <c r="B258" s="33">
        <v>45734.0</v>
      </c>
      <c r="C258" s="4" t="s">
        <v>875</v>
      </c>
      <c r="D258" s="8" t="s">
        <v>11</v>
      </c>
      <c r="E258" s="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2">
        <v>257.0</v>
      </c>
      <c r="B259" s="33">
        <v>45734.0</v>
      </c>
      <c r="C259" s="4" t="s">
        <v>841</v>
      </c>
      <c r="D259" s="8" t="s">
        <v>13</v>
      </c>
      <c r="E259" s="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2">
        <v>258.0</v>
      </c>
      <c r="B260" s="33">
        <v>45734.0</v>
      </c>
      <c r="C260" s="4" t="s">
        <v>876</v>
      </c>
      <c r="D260" s="8" t="s">
        <v>877</v>
      </c>
      <c r="E260" s="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2">
        <v>259.0</v>
      </c>
      <c r="B261" s="33">
        <v>45734.0</v>
      </c>
      <c r="C261" s="4" t="s">
        <v>878</v>
      </c>
      <c r="D261" s="8" t="s">
        <v>178</v>
      </c>
      <c r="E261" s="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2">
        <v>260.0</v>
      </c>
      <c r="B262" s="33">
        <v>45734.0</v>
      </c>
      <c r="C262" s="4" t="s">
        <v>878</v>
      </c>
      <c r="D262" s="8" t="s">
        <v>34</v>
      </c>
      <c r="E262" s="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2">
        <v>261.0</v>
      </c>
      <c r="B263" s="33">
        <v>45734.0</v>
      </c>
      <c r="C263" s="4" t="s">
        <v>841</v>
      </c>
      <c r="D263" s="8" t="s">
        <v>13</v>
      </c>
      <c r="E263" s="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2">
        <v>262.0</v>
      </c>
      <c r="B264" s="33">
        <v>45734.0</v>
      </c>
      <c r="C264" s="4" t="s">
        <v>879</v>
      </c>
      <c r="D264" s="8" t="s">
        <v>29</v>
      </c>
      <c r="E264" s="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2">
        <v>263.0</v>
      </c>
      <c r="B265" s="33">
        <v>45734.0</v>
      </c>
      <c r="C265" s="4" t="s">
        <v>880</v>
      </c>
      <c r="D265" s="8" t="s">
        <v>13</v>
      </c>
      <c r="E265" s="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2">
        <v>264.0</v>
      </c>
      <c r="B266" s="33">
        <v>45736.0</v>
      </c>
      <c r="C266" s="4" t="s">
        <v>881</v>
      </c>
      <c r="D266" s="8" t="s">
        <v>11</v>
      </c>
      <c r="E266" s="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2">
        <v>265.0</v>
      </c>
      <c r="B267" s="33">
        <v>45736.0</v>
      </c>
      <c r="C267" s="4" t="s">
        <v>882</v>
      </c>
      <c r="D267" s="8" t="s">
        <v>13</v>
      </c>
      <c r="E267" s="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2">
        <v>266.0</v>
      </c>
      <c r="B268" s="33">
        <v>45736.0</v>
      </c>
      <c r="C268" s="4" t="s">
        <v>883</v>
      </c>
      <c r="D268" s="8" t="s">
        <v>13</v>
      </c>
      <c r="E268" s="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2">
        <v>267.0</v>
      </c>
      <c r="B269" s="33">
        <v>45736.0</v>
      </c>
      <c r="C269" s="4" t="s">
        <v>884</v>
      </c>
      <c r="D269" s="8" t="s">
        <v>17</v>
      </c>
      <c r="E269" s="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2">
        <v>268.0</v>
      </c>
      <c r="B270" s="33">
        <v>45736.0</v>
      </c>
      <c r="C270" s="4" t="s">
        <v>885</v>
      </c>
      <c r="D270" s="8" t="s">
        <v>22</v>
      </c>
      <c r="E270" s="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2">
        <v>269.0</v>
      </c>
      <c r="B271" s="33">
        <v>45736.0</v>
      </c>
      <c r="C271" s="4" t="s">
        <v>886</v>
      </c>
      <c r="D271" s="8" t="s">
        <v>22</v>
      </c>
      <c r="E271" s="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2">
        <v>270.0</v>
      </c>
      <c r="B272" s="33">
        <v>45736.0</v>
      </c>
      <c r="C272" s="4" t="s">
        <v>781</v>
      </c>
      <c r="D272" s="8" t="s">
        <v>178</v>
      </c>
      <c r="E272" s="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2">
        <v>271.0</v>
      </c>
      <c r="B273" s="33">
        <v>45736.0</v>
      </c>
      <c r="C273" s="4" t="s">
        <v>887</v>
      </c>
      <c r="D273" s="8" t="s">
        <v>11</v>
      </c>
      <c r="E273" s="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2">
        <v>272.0</v>
      </c>
      <c r="B274" s="33">
        <v>45736.0</v>
      </c>
      <c r="C274" s="4" t="s">
        <v>888</v>
      </c>
      <c r="D274" s="8" t="s">
        <v>25</v>
      </c>
      <c r="E274" s="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2">
        <v>273.0</v>
      </c>
      <c r="B275" s="33">
        <v>45736.0</v>
      </c>
      <c r="C275" s="4" t="s">
        <v>889</v>
      </c>
      <c r="D275" s="8" t="s">
        <v>11</v>
      </c>
      <c r="E275" s="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2">
        <v>274.0</v>
      </c>
      <c r="B276" s="33">
        <v>45736.0</v>
      </c>
      <c r="C276" s="4" t="s">
        <v>890</v>
      </c>
      <c r="D276" s="8" t="s">
        <v>25</v>
      </c>
      <c r="E276" s="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2">
        <v>275.0</v>
      </c>
      <c r="B277" s="33">
        <v>45736.0</v>
      </c>
      <c r="C277" s="4" t="s">
        <v>891</v>
      </c>
      <c r="D277" s="8" t="s">
        <v>11</v>
      </c>
      <c r="E277" s="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2">
        <v>276.0</v>
      </c>
      <c r="B278" s="33">
        <v>45736.0</v>
      </c>
      <c r="C278" s="4" t="s">
        <v>892</v>
      </c>
      <c r="D278" s="8" t="s">
        <v>25</v>
      </c>
      <c r="E278" s="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2">
        <v>277.0</v>
      </c>
      <c r="B279" s="33">
        <v>45736.0</v>
      </c>
      <c r="C279" s="4" t="s">
        <v>893</v>
      </c>
      <c r="D279" s="8" t="s">
        <v>17</v>
      </c>
      <c r="E279" s="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2">
        <v>278.0</v>
      </c>
      <c r="B280" s="33">
        <v>45736.0</v>
      </c>
      <c r="C280" s="4" t="s">
        <v>894</v>
      </c>
      <c r="D280" s="8" t="s">
        <v>11</v>
      </c>
      <c r="E280" s="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2">
        <v>279.0</v>
      </c>
      <c r="B281" s="33">
        <v>45736.0</v>
      </c>
      <c r="C281" s="4" t="s">
        <v>895</v>
      </c>
      <c r="D281" s="8" t="s">
        <v>22</v>
      </c>
      <c r="E281" s="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2">
        <v>280.0</v>
      </c>
      <c r="B282" s="33">
        <v>45737.0</v>
      </c>
      <c r="C282" s="4" t="s">
        <v>896</v>
      </c>
      <c r="D282" s="8" t="s">
        <v>829</v>
      </c>
      <c r="E282" s="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2">
        <v>281.0</v>
      </c>
      <c r="B283" s="33">
        <v>45737.0</v>
      </c>
      <c r="C283" s="4" t="s">
        <v>897</v>
      </c>
      <c r="D283" s="8" t="s">
        <v>829</v>
      </c>
      <c r="E283" s="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2">
        <v>282.0</v>
      </c>
      <c r="B284" s="33">
        <v>45737.0</v>
      </c>
      <c r="C284" s="4" t="s">
        <v>841</v>
      </c>
      <c r="D284" s="8" t="s">
        <v>13</v>
      </c>
      <c r="E284" s="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2">
        <v>283.0</v>
      </c>
      <c r="B285" s="33">
        <v>45737.0</v>
      </c>
      <c r="C285" s="4" t="s">
        <v>841</v>
      </c>
      <c r="D285" s="8" t="s">
        <v>13</v>
      </c>
      <c r="E285" s="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2">
        <v>284.0</v>
      </c>
      <c r="B286" s="33">
        <v>45737.0</v>
      </c>
      <c r="C286" s="4" t="s">
        <v>841</v>
      </c>
      <c r="D286" s="8" t="s">
        <v>13</v>
      </c>
      <c r="E286" s="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2">
        <v>285.0</v>
      </c>
      <c r="B287" s="33">
        <v>45737.0</v>
      </c>
      <c r="C287" s="4" t="s">
        <v>898</v>
      </c>
      <c r="D287" s="8" t="s">
        <v>22</v>
      </c>
      <c r="E287" s="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2">
        <v>286.0</v>
      </c>
      <c r="B288" s="33">
        <v>45737.0</v>
      </c>
      <c r="C288" s="4" t="s">
        <v>899</v>
      </c>
      <c r="D288" s="8" t="s">
        <v>22</v>
      </c>
      <c r="E288" s="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2">
        <v>287.0</v>
      </c>
      <c r="B289" s="33">
        <v>45737.0</v>
      </c>
      <c r="C289" s="4" t="s">
        <v>900</v>
      </c>
      <c r="D289" s="8" t="s">
        <v>77</v>
      </c>
      <c r="E289" s="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2">
        <v>288.0</v>
      </c>
      <c r="B290" s="33">
        <v>45737.0</v>
      </c>
      <c r="C290" s="4" t="s">
        <v>901</v>
      </c>
      <c r="D290" s="8" t="s">
        <v>25</v>
      </c>
      <c r="E290" s="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2">
        <v>289.0</v>
      </c>
      <c r="B291" s="33">
        <v>45737.0</v>
      </c>
      <c r="C291" s="4" t="s">
        <v>902</v>
      </c>
      <c r="D291" s="8" t="s">
        <v>13</v>
      </c>
      <c r="E291" s="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2">
        <v>290.0</v>
      </c>
      <c r="B292" s="33">
        <v>45737.0</v>
      </c>
      <c r="C292" s="4" t="s">
        <v>903</v>
      </c>
      <c r="D292" s="8" t="s">
        <v>22</v>
      </c>
      <c r="E292" s="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2">
        <v>291.0</v>
      </c>
      <c r="B293" s="33">
        <v>45740.0</v>
      </c>
      <c r="C293" s="4" t="s">
        <v>904</v>
      </c>
      <c r="D293" s="8" t="s">
        <v>168</v>
      </c>
      <c r="E293" s="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2">
        <v>292.0</v>
      </c>
      <c r="B294" s="33">
        <v>45740.0</v>
      </c>
      <c r="C294" s="4" t="s">
        <v>905</v>
      </c>
      <c r="D294" s="8" t="s">
        <v>25</v>
      </c>
      <c r="E294" s="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2">
        <v>293.0</v>
      </c>
      <c r="B295" s="33">
        <v>45741.0</v>
      </c>
      <c r="C295" s="4" t="s">
        <v>906</v>
      </c>
      <c r="D295" s="8" t="s">
        <v>77</v>
      </c>
      <c r="E295" s="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2">
        <v>294.0</v>
      </c>
      <c r="B296" s="33">
        <v>45741.0</v>
      </c>
      <c r="C296" s="4" t="s">
        <v>907</v>
      </c>
      <c r="D296" s="8" t="s">
        <v>77</v>
      </c>
      <c r="E296" s="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2">
        <v>295.0</v>
      </c>
      <c r="B297" s="33">
        <v>45741.0</v>
      </c>
      <c r="C297" s="4" t="s">
        <v>908</v>
      </c>
      <c r="D297" s="8" t="s">
        <v>29</v>
      </c>
      <c r="E297" s="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2">
        <v>296.0</v>
      </c>
      <c r="B298" s="33">
        <v>45741.0</v>
      </c>
      <c r="C298" s="4" t="s">
        <v>909</v>
      </c>
      <c r="D298" s="8" t="s">
        <v>22</v>
      </c>
      <c r="E298" s="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2">
        <v>297.0</v>
      </c>
      <c r="B299" s="33">
        <v>45741.0</v>
      </c>
      <c r="C299" s="4"/>
      <c r="D299" s="8" t="s">
        <v>25</v>
      </c>
      <c r="E299" s="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2">
        <v>298.0</v>
      </c>
      <c r="B300" s="33">
        <v>45741.0</v>
      </c>
      <c r="C300" s="4" t="s">
        <v>910</v>
      </c>
      <c r="D300" s="8" t="s">
        <v>77</v>
      </c>
      <c r="E300" s="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2">
        <v>299.0</v>
      </c>
      <c r="B301" s="33">
        <v>45741.0</v>
      </c>
      <c r="C301" s="4" t="s">
        <v>911</v>
      </c>
      <c r="D301" s="8" t="s">
        <v>13</v>
      </c>
      <c r="E301" s="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2">
        <v>300.0</v>
      </c>
      <c r="B302" s="33">
        <v>45741.0</v>
      </c>
      <c r="C302" s="4" t="s">
        <v>910</v>
      </c>
      <c r="D302" s="8" t="s">
        <v>77</v>
      </c>
      <c r="E302" s="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2">
        <v>301.0</v>
      </c>
      <c r="B303" s="33">
        <v>45741.0</v>
      </c>
      <c r="C303" s="4" t="s">
        <v>912</v>
      </c>
      <c r="D303" s="8" t="s">
        <v>77</v>
      </c>
      <c r="E303" s="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2">
        <v>302.0</v>
      </c>
      <c r="B304" s="33">
        <v>45741.0</v>
      </c>
      <c r="C304" s="4" t="s">
        <v>913</v>
      </c>
      <c r="D304" s="8" t="s">
        <v>914</v>
      </c>
      <c r="E304" s="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2">
        <v>303.0</v>
      </c>
      <c r="B305" s="33">
        <v>45741.0</v>
      </c>
      <c r="C305" s="4" t="s">
        <v>915</v>
      </c>
      <c r="D305" s="8" t="s">
        <v>558</v>
      </c>
      <c r="E305" s="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2">
        <v>304.0</v>
      </c>
      <c r="B306" s="33">
        <v>45741.0</v>
      </c>
      <c r="C306" s="4" t="s">
        <v>916</v>
      </c>
      <c r="D306" s="8" t="s">
        <v>136</v>
      </c>
      <c r="E306" s="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2">
        <v>305.0</v>
      </c>
      <c r="B307" s="33">
        <v>45741.0</v>
      </c>
      <c r="C307" s="4" t="s">
        <v>917</v>
      </c>
      <c r="D307" s="8" t="s">
        <v>136</v>
      </c>
      <c r="E307" s="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2">
        <v>306.0</v>
      </c>
      <c r="B308" s="33">
        <v>45741.0</v>
      </c>
      <c r="C308" s="4" t="s">
        <v>918</v>
      </c>
      <c r="D308" s="8" t="s">
        <v>22</v>
      </c>
      <c r="E308" s="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2">
        <v>307.0</v>
      </c>
      <c r="B309" s="33">
        <v>45741.0</v>
      </c>
      <c r="C309" s="4" t="s">
        <v>919</v>
      </c>
      <c r="D309" s="8" t="s">
        <v>25</v>
      </c>
      <c r="E309" s="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2">
        <v>308.0</v>
      </c>
      <c r="B310" s="33">
        <v>45741.0</v>
      </c>
      <c r="C310" s="4" t="s">
        <v>920</v>
      </c>
      <c r="D310" s="8" t="s">
        <v>29</v>
      </c>
      <c r="E310" s="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2">
        <v>309.0</v>
      </c>
      <c r="B311" s="33">
        <v>45741.0</v>
      </c>
      <c r="C311" s="4" t="s">
        <v>921</v>
      </c>
      <c r="D311" s="8" t="s">
        <v>25</v>
      </c>
      <c r="E311" s="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2">
        <v>310.0</v>
      </c>
      <c r="B312" s="33">
        <v>45741.0</v>
      </c>
      <c r="C312" s="4" t="s">
        <v>910</v>
      </c>
      <c r="D312" s="8" t="s">
        <v>77</v>
      </c>
      <c r="E312" s="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2">
        <v>311.0</v>
      </c>
      <c r="B313" s="33">
        <v>45741.0</v>
      </c>
      <c r="C313" s="4" t="s">
        <v>922</v>
      </c>
      <c r="D313" s="8" t="s">
        <v>11</v>
      </c>
      <c r="E313" s="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2">
        <v>312.0</v>
      </c>
      <c r="B314" s="33">
        <v>45741.0</v>
      </c>
      <c r="C314" s="4" t="s">
        <v>841</v>
      </c>
      <c r="D314" s="8" t="s">
        <v>13</v>
      </c>
      <c r="E314" s="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2">
        <v>313.0</v>
      </c>
      <c r="B315" s="33">
        <v>45741.0</v>
      </c>
      <c r="C315" s="4" t="s">
        <v>923</v>
      </c>
      <c r="D315" s="8" t="s">
        <v>17</v>
      </c>
      <c r="E315" s="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2">
        <v>314.0</v>
      </c>
      <c r="B316" s="33">
        <v>45741.0</v>
      </c>
      <c r="C316" s="4" t="s">
        <v>924</v>
      </c>
      <c r="D316" s="8" t="s">
        <v>77</v>
      </c>
      <c r="E316" s="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2">
        <v>315.0</v>
      </c>
      <c r="B317" s="33">
        <v>45741.0</v>
      </c>
      <c r="C317" s="4" t="s">
        <v>925</v>
      </c>
      <c r="D317" s="8" t="s">
        <v>77</v>
      </c>
      <c r="E317" s="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2">
        <v>316.0</v>
      </c>
      <c r="B318" s="33">
        <v>45742.0</v>
      </c>
      <c r="C318" s="4" t="s">
        <v>926</v>
      </c>
      <c r="D318" s="8" t="s">
        <v>13</v>
      </c>
      <c r="E318" s="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2">
        <v>317.0</v>
      </c>
      <c r="B319" s="33">
        <v>45743.0</v>
      </c>
      <c r="C319" s="4" t="s">
        <v>927</v>
      </c>
      <c r="D319" s="8" t="s">
        <v>25</v>
      </c>
      <c r="E319" s="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2">
        <v>318.0</v>
      </c>
      <c r="B320" s="33">
        <v>45743.0</v>
      </c>
      <c r="C320" s="4" t="s">
        <v>928</v>
      </c>
      <c r="D320" s="8" t="s">
        <v>22</v>
      </c>
      <c r="E320" s="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2">
        <v>319.0</v>
      </c>
      <c r="B321" s="33">
        <v>45743.0</v>
      </c>
      <c r="C321" s="4" t="s">
        <v>929</v>
      </c>
      <c r="D321" s="8" t="s">
        <v>30</v>
      </c>
      <c r="E321" s="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2">
        <v>320.0</v>
      </c>
      <c r="B322" s="33">
        <v>45743.0</v>
      </c>
      <c r="C322" s="4" t="s">
        <v>841</v>
      </c>
      <c r="D322" s="8" t="s">
        <v>13</v>
      </c>
      <c r="E322" s="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2">
        <v>321.0</v>
      </c>
      <c r="B323" s="33">
        <v>45744.0</v>
      </c>
      <c r="C323" s="4" t="s">
        <v>930</v>
      </c>
      <c r="D323" s="8" t="s">
        <v>77</v>
      </c>
      <c r="E323" s="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2">
        <v>322.0</v>
      </c>
      <c r="B324" s="33">
        <v>45744.0</v>
      </c>
      <c r="C324" s="4" t="s">
        <v>931</v>
      </c>
      <c r="D324" s="8" t="s">
        <v>77</v>
      </c>
      <c r="E324" s="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2">
        <v>323.0</v>
      </c>
      <c r="B325" s="33">
        <v>45744.0</v>
      </c>
      <c r="C325" s="4" t="s">
        <v>932</v>
      </c>
      <c r="D325" s="8" t="s">
        <v>11</v>
      </c>
      <c r="E325" s="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2">
        <v>324.0</v>
      </c>
      <c r="B326" s="33">
        <v>45744.0</v>
      </c>
      <c r="C326" s="4" t="s">
        <v>933</v>
      </c>
      <c r="D326" s="8" t="s">
        <v>25</v>
      </c>
      <c r="E326" s="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2">
        <v>325.0</v>
      </c>
      <c r="B327" s="33">
        <v>45747.0</v>
      </c>
      <c r="C327" s="4" t="s">
        <v>934</v>
      </c>
      <c r="D327" s="8" t="s">
        <v>11</v>
      </c>
      <c r="E327" s="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2">
        <v>326.0</v>
      </c>
      <c r="B328" s="33">
        <v>45747.0</v>
      </c>
      <c r="C328" s="4" t="s">
        <v>934</v>
      </c>
      <c r="D328" s="8" t="s">
        <v>11</v>
      </c>
      <c r="E328" s="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2">
        <v>327.0</v>
      </c>
      <c r="B329" s="33">
        <v>45747.0</v>
      </c>
      <c r="C329" s="4" t="s">
        <v>934</v>
      </c>
      <c r="D329" s="8" t="s">
        <v>11</v>
      </c>
      <c r="E329" s="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2">
        <v>328.0</v>
      </c>
      <c r="B330" s="33">
        <v>45747.0</v>
      </c>
      <c r="C330" s="4" t="s">
        <v>934</v>
      </c>
      <c r="D330" s="8" t="s">
        <v>11</v>
      </c>
      <c r="E330" s="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2">
        <v>329.0</v>
      </c>
      <c r="B331" s="33">
        <v>45747.0</v>
      </c>
      <c r="C331" s="4" t="s">
        <v>934</v>
      </c>
      <c r="D331" s="8" t="s">
        <v>11</v>
      </c>
      <c r="E331" s="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2">
        <v>330.0</v>
      </c>
      <c r="B332" s="33">
        <v>45747.0</v>
      </c>
      <c r="C332" s="4" t="s">
        <v>934</v>
      </c>
      <c r="D332" s="8" t="s">
        <v>11</v>
      </c>
      <c r="E332" s="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2">
        <v>331.0</v>
      </c>
      <c r="B333" s="33">
        <v>45747.0</v>
      </c>
      <c r="C333" s="4" t="s">
        <v>934</v>
      </c>
      <c r="D333" s="8" t="s">
        <v>11</v>
      </c>
      <c r="E333" s="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2">
        <v>332.0</v>
      </c>
      <c r="B334" s="33">
        <v>45747.0</v>
      </c>
      <c r="C334" s="4" t="s">
        <v>935</v>
      </c>
      <c r="D334" s="8" t="s">
        <v>77</v>
      </c>
      <c r="E334" s="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2">
        <v>333.0</v>
      </c>
      <c r="B335" s="33">
        <v>45747.0</v>
      </c>
      <c r="C335" s="4" t="s">
        <v>935</v>
      </c>
      <c r="D335" s="8" t="s">
        <v>77</v>
      </c>
      <c r="E335" s="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2">
        <v>334.0</v>
      </c>
      <c r="B336" s="33">
        <v>45747.0</v>
      </c>
      <c r="C336" s="4" t="s">
        <v>935</v>
      </c>
      <c r="D336" s="8" t="s">
        <v>77</v>
      </c>
      <c r="E336" s="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2">
        <v>335.0</v>
      </c>
      <c r="B337" s="33">
        <v>45747.0</v>
      </c>
      <c r="C337" s="4" t="s">
        <v>936</v>
      </c>
      <c r="D337" s="8" t="s">
        <v>11</v>
      </c>
      <c r="E337" s="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2">
        <v>336.0</v>
      </c>
      <c r="B338" s="33">
        <v>45747.0</v>
      </c>
      <c r="C338" s="4" t="s">
        <v>937</v>
      </c>
      <c r="D338" s="8" t="s">
        <v>764</v>
      </c>
      <c r="E338" s="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2">
        <v>337.0</v>
      </c>
      <c r="B339" s="33">
        <v>45747.0</v>
      </c>
      <c r="C339" s="4" t="s">
        <v>938</v>
      </c>
      <c r="D339" s="8" t="s">
        <v>764</v>
      </c>
      <c r="E339" s="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2">
        <v>338.0</v>
      </c>
      <c r="B340" s="33">
        <v>45747.0</v>
      </c>
      <c r="C340" s="4" t="s">
        <v>939</v>
      </c>
      <c r="D340" s="8" t="s">
        <v>22</v>
      </c>
      <c r="E340" s="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2">
        <v>339.0</v>
      </c>
      <c r="B341" s="33">
        <v>45747.0</v>
      </c>
      <c r="C341" s="4" t="s">
        <v>940</v>
      </c>
      <c r="D341" s="8" t="s">
        <v>11</v>
      </c>
      <c r="E341" s="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2">
        <v>340.0</v>
      </c>
      <c r="B342" s="33">
        <v>45747.0</v>
      </c>
      <c r="C342" s="4" t="s">
        <v>941</v>
      </c>
      <c r="D342" s="8" t="s">
        <v>22</v>
      </c>
      <c r="E342" s="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2">
        <v>341.0</v>
      </c>
      <c r="B343" s="33">
        <v>45748.0</v>
      </c>
      <c r="C343" s="4" t="s">
        <v>942</v>
      </c>
      <c r="D343" s="8" t="s">
        <v>578</v>
      </c>
      <c r="E343" s="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2">
        <v>342.0</v>
      </c>
      <c r="B344" s="33">
        <v>45748.0</v>
      </c>
      <c r="C344" s="4" t="s">
        <v>943</v>
      </c>
      <c r="D344" s="8" t="s">
        <v>13</v>
      </c>
      <c r="E344" s="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2">
        <v>343.0</v>
      </c>
      <c r="B345" s="33">
        <v>45748.0</v>
      </c>
      <c r="C345" s="4" t="s">
        <v>944</v>
      </c>
      <c r="D345" s="8" t="s">
        <v>77</v>
      </c>
      <c r="E345" s="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2">
        <v>344.0</v>
      </c>
      <c r="B346" s="33">
        <v>45748.0</v>
      </c>
      <c r="C346" s="4" t="s">
        <v>945</v>
      </c>
      <c r="D346" s="8" t="s">
        <v>13</v>
      </c>
      <c r="E346" s="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2">
        <v>345.0</v>
      </c>
      <c r="B347" s="33">
        <v>45748.0</v>
      </c>
      <c r="C347" s="4" t="s">
        <v>946</v>
      </c>
      <c r="D347" s="8" t="s">
        <v>13</v>
      </c>
      <c r="E347" s="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2">
        <v>346.0</v>
      </c>
      <c r="B348" s="33">
        <v>45748.0</v>
      </c>
      <c r="C348" s="4" t="s">
        <v>947</v>
      </c>
      <c r="D348" s="8" t="s">
        <v>22</v>
      </c>
      <c r="E348" s="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2">
        <v>347.0</v>
      </c>
      <c r="B349" s="33">
        <v>45748.0</v>
      </c>
      <c r="C349" s="4" t="s">
        <v>948</v>
      </c>
      <c r="D349" s="8" t="s">
        <v>13</v>
      </c>
      <c r="E349" s="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2">
        <v>348.0</v>
      </c>
      <c r="B350" s="33">
        <v>45748.0</v>
      </c>
      <c r="C350" s="4" t="s">
        <v>949</v>
      </c>
      <c r="D350" s="8" t="s">
        <v>829</v>
      </c>
      <c r="E350" s="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2">
        <v>349.0</v>
      </c>
      <c r="B351" s="33">
        <v>45748.0</v>
      </c>
      <c r="C351" s="4" t="s">
        <v>950</v>
      </c>
      <c r="D351" s="8" t="s">
        <v>13</v>
      </c>
      <c r="E351" s="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2">
        <v>350.0</v>
      </c>
      <c r="B352" s="33">
        <v>45748.0</v>
      </c>
      <c r="C352" s="4" t="s">
        <v>951</v>
      </c>
      <c r="D352" s="8" t="s">
        <v>77</v>
      </c>
      <c r="E352" s="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2">
        <v>351.0</v>
      </c>
      <c r="B353" s="33">
        <v>45749.0</v>
      </c>
      <c r="C353" s="4" t="s">
        <v>952</v>
      </c>
      <c r="D353" s="8" t="s">
        <v>829</v>
      </c>
      <c r="E353" s="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2">
        <v>352.0</v>
      </c>
      <c r="B354" s="33">
        <v>45749.0</v>
      </c>
      <c r="C354" s="4" t="s">
        <v>953</v>
      </c>
      <c r="D354" s="8" t="s">
        <v>13</v>
      </c>
      <c r="E354" s="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2">
        <v>353.0</v>
      </c>
      <c r="B355" s="33">
        <v>45749.0</v>
      </c>
      <c r="C355" s="4" t="s">
        <v>954</v>
      </c>
      <c r="D355" s="8" t="s">
        <v>22</v>
      </c>
      <c r="E355" s="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2">
        <v>354.0</v>
      </c>
      <c r="B356" s="33">
        <v>45749.0</v>
      </c>
      <c r="C356" s="4" t="s">
        <v>955</v>
      </c>
      <c r="D356" s="8" t="s">
        <v>22</v>
      </c>
      <c r="E356" s="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2">
        <v>355.0</v>
      </c>
      <c r="B357" s="33">
        <v>45749.0</v>
      </c>
      <c r="C357" s="4" t="s">
        <v>956</v>
      </c>
      <c r="D357" s="8" t="s">
        <v>22</v>
      </c>
      <c r="E357" s="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2">
        <v>356.0</v>
      </c>
      <c r="B358" s="33">
        <v>45749.0</v>
      </c>
      <c r="C358" s="4" t="s">
        <v>922</v>
      </c>
      <c r="D358" s="8" t="s">
        <v>11</v>
      </c>
      <c r="E358" s="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2">
        <v>357.0</v>
      </c>
      <c r="B359" s="33">
        <v>45750.0</v>
      </c>
      <c r="C359" s="4" t="s">
        <v>957</v>
      </c>
      <c r="D359" s="8" t="s">
        <v>11</v>
      </c>
      <c r="E359" s="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2">
        <v>358.0</v>
      </c>
      <c r="B360" s="33">
        <v>45750.0</v>
      </c>
      <c r="C360" s="4" t="s">
        <v>958</v>
      </c>
      <c r="D360" s="8" t="s">
        <v>13</v>
      </c>
      <c r="E360" s="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2">
        <v>359.0</v>
      </c>
      <c r="B361" s="33">
        <v>45750.0</v>
      </c>
      <c r="C361" s="4" t="s">
        <v>959</v>
      </c>
      <c r="D361" s="8" t="s">
        <v>30</v>
      </c>
      <c r="E361" s="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2">
        <v>360.0</v>
      </c>
      <c r="B362" s="33">
        <v>45750.0</v>
      </c>
      <c r="C362" s="4" t="s">
        <v>960</v>
      </c>
      <c r="D362" s="8" t="s">
        <v>764</v>
      </c>
      <c r="E362" s="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2">
        <v>361.0</v>
      </c>
      <c r="B363" s="33">
        <v>45751.0</v>
      </c>
      <c r="C363" s="4" t="s">
        <v>661</v>
      </c>
      <c r="D363" s="8" t="s">
        <v>25</v>
      </c>
      <c r="E363" s="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2">
        <v>362.0</v>
      </c>
      <c r="B364" s="33">
        <v>45751.0</v>
      </c>
      <c r="C364" s="4" t="s">
        <v>661</v>
      </c>
      <c r="D364" s="8" t="s">
        <v>25</v>
      </c>
      <c r="E364" s="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2">
        <v>363.0</v>
      </c>
      <c r="B365" s="33">
        <v>45751.0</v>
      </c>
      <c r="C365" s="4" t="s">
        <v>961</v>
      </c>
      <c r="D365" s="8" t="s">
        <v>25</v>
      </c>
      <c r="E365" s="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2">
        <v>364.0</v>
      </c>
      <c r="B366" s="33">
        <v>45751.0</v>
      </c>
      <c r="C366" s="4" t="s">
        <v>962</v>
      </c>
      <c r="D366" s="8" t="s">
        <v>877</v>
      </c>
      <c r="E366" s="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2">
        <v>365.0</v>
      </c>
      <c r="B367" s="33" t="s">
        <v>963</v>
      </c>
      <c r="C367" s="4" t="s">
        <v>964</v>
      </c>
      <c r="D367" s="8" t="s">
        <v>877</v>
      </c>
      <c r="E367" s="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2">
        <v>366.0</v>
      </c>
      <c r="B368" s="33">
        <v>45751.0</v>
      </c>
      <c r="C368" s="4" t="s">
        <v>965</v>
      </c>
      <c r="D368" s="8" t="s">
        <v>77</v>
      </c>
      <c r="E368" s="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2">
        <v>367.0</v>
      </c>
      <c r="B369" s="33">
        <v>45751.0</v>
      </c>
      <c r="C369" s="4" t="s">
        <v>966</v>
      </c>
      <c r="D369" s="8" t="s">
        <v>11</v>
      </c>
      <c r="E369" s="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2">
        <v>368.0</v>
      </c>
      <c r="B370" s="33">
        <v>45751.0</v>
      </c>
      <c r="C370" s="4" t="s">
        <v>820</v>
      </c>
      <c r="D370" s="8" t="s">
        <v>136</v>
      </c>
      <c r="E370" s="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2">
        <v>369.0</v>
      </c>
      <c r="B371" s="33">
        <v>45751.0</v>
      </c>
      <c r="C371" s="4" t="s">
        <v>967</v>
      </c>
      <c r="D371" s="8" t="s">
        <v>22</v>
      </c>
      <c r="E371" s="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2">
        <v>370.0</v>
      </c>
      <c r="B372" s="33">
        <v>45751.0</v>
      </c>
      <c r="C372" s="4" t="s">
        <v>841</v>
      </c>
      <c r="D372" s="8" t="s">
        <v>13</v>
      </c>
      <c r="E372" s="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2">
        <v>371.0</v>
      </c>
      <c r="B373" s="33">
        <v>45751.0</v>
      </c>
      <c r="C373" s="4" t="s">
        <v>968</v>
      </c>
      <c r="D373" s="8" t="s">
        <v>8</v>
      </c>
      <c r="E373" s="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2">
        <v>372.0</v>
      </c>
      <c r="B374" s="33">
        <v>45754.0</v>
      </c>
      <c r="C374" s="4" t="s">
        <v>969</v>
      </c>
      <c r="D374" s="8" t="s">
        <v>13</v>
      </c>
      <c r="E374" s="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2">
        <v>373.0</v>
      </c>
      <c r="B375" s="33">
        <v>45754.0</v>
      </c>
      <c r="C375" s="4" t="s">
        <v>970</v>
      </c>
      <c r="D375" s="8" t="s">
        <v>168</v>
      </c>
      <c r="E375" s="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2">
        <v>374.0</v>
      </c>
      <c r="B376" s="33">
        <v>45754.0</v>
      </c>
      <c r="C376" s="4" t="s">
        <v>970</v>
      </c>
      <c r="D376" s="8" t="s">
        <v>168</v>
      </c>
      <c r="E376" s="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2">
        <v>375.0</v>
      </c>
      <c r="B377" s="33">
        <v>45754.0</v>
      </c>
      <c r="C377" s="4" t="s">
        <v>928</v>
      </c>
      <c r="D377" s="8" t="s">
        <v>22</v>
      </c>
      <c r="E377" s="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2">
        <v>376.0</v>
      </c>
      <c r="B378" s="33">
        <v>45754.0</v>
      </c>
      <c r="C378" s="4" t="s">
        <v>971</v>
      </c>
      <c r="D378" s="8" t="s">
        <v>764</v>
      </c>
      <c r="E378" s="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2">
        <v>377.0</v>
      </c>
      <c r="B379" s="33">
        <v>45754.0</v>
      </c>
      <c r="C379" s="4" t="s">
        <v>972</v>
      </c>
      <c r="D379" s="8" t="s">
        <v>11</v>
      </c>
      <c r="E379" s="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2">
        <v>378.0</v>
      </c>
      <c r="B380" s="33">
        <v>45754.0</v>
      </c>
      <c r="C380" s="4"/>
      <c r="D380" s="8" t="s">
        <v>22</v>
      </c>
      <c r="E380" s="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2">
        <v>379.0</v>
      </c>
      <c r="B381" s="33">
        <v>45754.0</v>
      </c>
      <c r="C381" s="4" t="s">
        <v>973</v>
      </c>
      <c r="D381" s="8" t="s">
        <v>11</v>
      </c>
      <c r="E381" s="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2">
        <v>380.0</v>
      </c>
      <c r="B382" s="33">
        <v>45754.0</v>
      </c>
      <c r="C382" s="4" t="s">
        <v>974</v>
      </c>
      <c r="D382" s="8" t="s">
        <v>11</v>
      </c>
      <c r="E382" s="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2">
        <v>381.0</v>
      </c>
      <c r="B383" s="33">
        <v>45754.0</v>
      </c>
      <c r="C383" s="4" t="s">
        <v>975</v>
      </c>
      <c r="D383" s="8" t="s">
        <v>77</v>
      </c>
      <c r="E383" s="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2">
        <v>382.0</v>
      </c>
      <c r="B384" s="33">
        <v>45754.0</v>
      </c>
      <c r="C384" s="4" t="s">
        <v>976</v>
      </c>
      <c r="D384" s="8" t="s">
        <v>764</v>
      </c>
      <c r="E384" s="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2">
        <v>383.0</v>
      </c>
      <c r="B385" s="33">
        <v>45754.0</v>
      </c>
      <c r="C385" s="4" t="s">
        <v>977</v>
      </c>
      <c r="D385" s="8" t="s">
        <v>17</v>
      </c>
      <c r="E385" s="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2">
        <v>384.0</v>
      </c>
      <c r="B386" s="33">
        <v>45755.0</v>
      </c>
      <c r="C386" s="4" t="s">
        <v>978</v>
      </c>
      <c r="D386" s="8" t="s">
        <v>11</v>
      </c>
      <c r="E386" s="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2">
        <v>385.0</v>
      </c>
      <c r="B387" s="33">
        <v>45755.0</v>
      </c>
      <c r="C387" s="4" t="s">
        <v>979</v>
      </c>
      <c r="D387" s="8" t="s">
        <v>11</v>
      </c>
      <c r="E387" s="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2">
        <v>386.0</v>
      </c>
      <c r="B388" s="33">
        <v>45755.0</v>
      </c>
      <c r="C388" s="4" t="s">
        <v>980</v>
      </c>
      <c r="D388" s="8" t="s">
        <v>77</v>
      </c>
      <c r="E388" s="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2">
        <v>387.0</v>
      </c>
      <c r="B389" s="33">
        <v>45755.0</v>
      </c>
      <c r="C389" s="4" t="s">
        <v>981</v>
      </c>
      <c r="D389" s="8" t="s">
        <v>22</v>
      </c>
      <c r="E389" s="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2">
        <v>388.0</v>
      </c>
      <c r="B390" s="33">
        <v>45755.0</v>
      </c>
      <c r="C390" s="4" t="s">
        <v>982</v>
      </c>
      <c r="D390" s="8" t="s">
        <v>22</v>
      </c>
      <c r="E390" s="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2">
        <v>389.0</v>
      </c>
      <c r="B391" s="33">
        <v>45755.0</v>
      </c>
      <c r="C391" s="4"/>
      <c r="D391" s="8"/>
      <c r="E391" s="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2">
        <v>390.0</v>
      </c>
      <c r="B392" s="33">
        <v>45755.0</v>
      </c>
      <c r="C392" s="4" t="s">
        <v>983</v>
      </c>
      <c r="D392" s="8" t="s">
        <v>11</v>
      </c>
      <c r="E392" s="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2">
        <v>391.0</v>
      </c>
      <c r="B393" s="33">
        <v>45755.0</v>
      </c>
      <c r="C393" s="4" t="s">
        <v>984</v>
      </c>
      <c r="D393" s="8" t="s">
        <v>25</v>
      </c>
      <c r="E393" s="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2">
        <v>392.0</v>
      </c>
      <c r="B394" s="33">
        <v>45755.0</v>
      </c>
      <c r="C394" s="4" t="s">
        <v>985</v>
      </c>
      <c r="D394" s="8" t="s">
        <v>11</v>
      </c>
      <c r="E394" s="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2">
        <v>393.0</v>
      </c>
      <c r="B395" s="33">
        <v>45755.0</v>
      </c>
      <c r="C395" s="4" t="s">
        <v>986</v>
      </c>
      <c r="D395" s="8" t="s">
        <v>13</v>
      </c>
      <c r="E395" s="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2">
        <v>394.0</v>
      </c>
      <c r="B396" s="33">
        <v>45755.0</v>
      </c>
      <c r="C396" s="4" t="s">
        <v>987</v>
      </c>
      <c r="D396" s="8" t="s">
        <v>11</v>
      </c>
      <c r="E396" s="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2">
        <v>395.0</v>
      </c>
      <c r="B397" s="33">
        <v>45755.0</v>
      </c>
      <c r="C397" s="4" t="s">
        <v>988</v>
      </c>
      <c r="D397" s="8" t="s">
        <v>25</v>
      </c>
      <c r="E397" s="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2">
        <v>396.0</v>
      </c>
      <c r="B398" s="33">
        <v>45755.0</v>
      </c>
      <c r="C398" s="4" t="s">
        <v>989</v>
      </c>
      <c r="D398" s="8" t="s">
        <v>77</v>
      </c>
      <c r="E398" s="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2">
        <v>397.0</v>
      </c>
      <c r="B399" s="33">
        <v>45755.0</v>
      </c>
      <c r="C399" s="4" t="s">
        <v>990</v>
      </c>
      <c r="D399" s="8" t="s">
        <v>22</v>
      </c>
      <c r="E399" s="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2">
        <v>398.0</v>
      </c>
      <c r="B400" s="33">
        <v>45755.0</v>
      </c>
      <c r="C400" s="4" t="s">
        <v>991</v>
      </c>
      <c r="D400" s="8" t="s">
        <v>77</v>
      </c>
      <c r="E400" s="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2">
        <v>399.0</v>
      </c>
      <c r="B401" s="33">
        <v>45756.0</v>
      </c>
      <c r="C401" s="4" t="s">
        <v>992</v>
      </c>
      <c r="D401" s="8" t="s">
        <v>11</v>
      </c>
      <c r="E401" s="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2">
        <v>400.0</v>
      </c>
      <c r="B402" s="33">
        <v>45756.0</v>
      </c>
      <c r="C402" s="4" t="s">
        <v>993</v>
      </c>
      <c r="D402" s="8" t="s">
        <v>13</v>
      </c>
      <c r="E402" s="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2">
        <v>401.0</v>
      </c>
      <c r="B403" s="33">
        <v>45756.0</v>
      </c>
      <c r="C403" s="4"/>
      <c r="D403" s="8"/>
      <c r="E403" s="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2">
        <v>402.0</v>
      </c>
      <c r="B404" s="33">
        <v>45756.0</v>
      </c>
      <c r="C404" s="4" t="s">
        <v>994</v>
      </c>
      <c r="D404" s="8" t="s">
        <v>22</v>
      </c>
      <c r="E404" s="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2">
        <v>403.0</v>
      </c>
      <c r="B405" s="33">
        <v>45756.0</v>
      </c>
      <c r="C405" s="4" t="s">
        <v>995</v>
      </c>
      <c r="D405" s="8" t="s">
        <v>11</v>
      </c>
      <c r="E405" s="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2">
        <v>404.0</v>
      </c>
      <c r="B406" s="33">
        <v>45756.0</v>
      </c>
      <c r="C406" s="4" t="s">
        <v>996</v>
      </c>
      <c r="D406" s="8" t="s">
        <v>11</v>
      </c>
      <c r="E406" s="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2">
        <v>405.0</v>
      </c>
      <c r="B407" s="33">
        <v>45756.0</v>
      </c>
      <c r="C407" s="4" t="s">
        <v>997</v>
      </c>
      <c r="D407" s="8" t="s">
        <v>11</v>
      </c>
      <c r="E407" s="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2">
        <v>406.0</v>
      </c>
      <c r="B408" s="33">
        <v>45756.0</v>
      </c>
      <c r="C408" s="4" t="s">
        <v>998</v>
      </c>
      <c r="D408" s="8" t="s">
        <v>11</v>
      </c>
      <c r="E408" s="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2">
        <v>407.0</v>
      </c>
      <c r="B409" s="33">
        <v>45757.0</v>
      </c>
      <c r="C409" s="4" t="s">
        <v>957</v>
      </c>
      <c r="D409" s="8" t="s">
        <v>11</v>
      </c>
      <c r="E409" s="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2">
        <v>408.0</v>
      </c>
      <c r="B410" s="33">
        <v>45757.0</v>
      </c>
      <c r="C410" s="4" t="s">
        <v>751</v>
      </c>
      <c r="D410" s="8" t="s">
        <v>25</v>
      </c>
      <c r="E410" s="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2">
        <v>409.0</v>
      </c>
      <c r="B411" s="33">
        <v>45757.0</v>
      </c>
      <c r="C411" s="4" t="s">
        <v>661</v>
      </c>
      <c r="D411" s="8" t="s">
        <v>25</v>
      </c>
      <c r="E411" s="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2">
        <v>410.0</v>
      </c>
      <c r="B412" s="33">
        <v>45757.0</v>
      </c>
      <c r="C412" s="4" t="s">
        <v>778</v>
      </c>
      <c r="D412" s="8" t="s">
        <v>25</v>
      </c>
      <c r="E412" s="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2">
        <v>411.0</v>
      </c>
      <c r="B413" s="33">
        <v>45757.0</v>
      </c>
      <c r="C413" s="4" t="s">
        <v>661</v>
      </c>
      <c r="D413" s="8" t="s">
        <v>25</v>
      </c>
      <c r="E413" s="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2">
        <v>412.0</v>
      </c>
      <c r="B414" s="33">
        <v>45757.0</v>
      </c>
      <c r="C414" s="4" t="s">
        <v>999</v>
      </c>
      <c r="D414" s="8" t="s">
        <v>13</v>
      </c>
      <c r="E414" s="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2">
        <v>413.0</v>
      </c>
      <c r="B415" s="33">
        <v>45757.0</v>
      </c>
      <c r="C415" s="4" t="s">
        <v>1000</v>
      </c>
      <c r="D415" s="8" t="s">
        <v>13</v>
      </c>
      <c r="E415" s="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2">
        <v>414.0</v>
      </c>
      <c r="B416" s="33">
        <v>45757.0</v>
      </c>
      <c r="C416" s="4" t="s">
        <v>1001</v>
      </c>
      <c r="D416" s="8" t="s">
        <v>764</v>
      </c>
      <c r="E416" s="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2">
        <v>415.0</v>
      </c>
      <c r="B417" s="33">
        <v>45757.0</v>
      </c>
      <c r="C417" s="4" t="s">
        <v>1002</v>
      </c>
      <c r="D417" s="8" t="s">
        <v>764</v>
      </c>
      <c r="E417" s="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2">
        <v>416.0</v>
      </c>
      <c r="B418" s="33">
        <v>45757.0</v>
      </c>
      <c r="C418" s="4" t="s">
        <v>1003</v>
      </c>
      <c r="D418" s="8" t="s">
        <v>877</v>
      </c>
      <c r="E418" s="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2">
        <v>417.0</v>
      </c>
      <c r="B419" s="33">
        <v>45757.0</v>
      </c>
      <c r="C419" s="4" t="s">
        <v>1004</v>
      </c>
      <c r="D419" s="8" t="s">
        <v>29</v>
      </c>
      <c r="E419" s="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2">
        <v>418.0</v>
      </c>
      <c r="B420" s="33">
        <v>45758.0</v>
      </c>
      <c r="C420" s="4" t="s">
        <v>1005</v>
      </c>
      <c r="D420" s="8" t="s">
        <v>13</v>
      </c>
      <c r="E420" s="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2">
        <v>419.0</v>
      </c>
      <c r="B421" s="33">
        <v>45758.0</v>
      </c>
      <c r="C421" s="4" t="s">
        <v>841</v>
      </c>
      <c r="D421" s="8" t="s">
        <v>13</v>
      </c>
      <c r="E421" s="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2">
        <v>420.0</v>
      </c>
      <c r="B422" s="33">
        <v>45758.0</v>
      </c>
      <c r="C422" s="4" t="s">
        <v>1006</v>
      </c>
      <c r="D422" s="8" t="s">
        <v>22</v>
      </c>
      <c r="E422" s="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2">
        <v>421.0</v>
      </c>
      <c r="B423" s="33">
        <v>45758.0</v>
      </c>
      <c r="C423" s="4" t="s">
        <v>1007</v>
      </c>
      <c r="D423" s="8" t="s">
        <v>77</v>
      </c>
      <c r="E423" s="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2">
        <v>422.0</v>
      </c>
      <c r="B424" s="33">
        <v>45761.0</v>
      </c>
      <c r="C424" s="4" t="s">
        <v>1008</v>
      </c>
      <c r="D424" s="8" t="s">
        <v>11</v>
      </c>
      <c r="E424" s="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2">
        <v>423.0</v>
      </c>
      <c r="B425" s="33">
        <v>45761.0</v>
      </c>
      <c r="C425" s="4" t="s">
        <v>1009</v>
      </c>
      <c r="D425" s="8" t="s">
        <v>136</v>
      </c>
      <c r="E425" s="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2">
        <v>424.0</v>
      </c>
      <c r="B426" s="33">
        <v>45761.0</v>
      </c>
      <c r="C426" s="4" t="s">
        <v>1010</v>
      </c>
      <c r="D426" s="8" t="s">
        <v>13</v>
      </c>
      <c r="E426" s="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2">
        <v>425.0</v>
      </c>
      <c r="B427" s="33">
        <v>45761.0</v>
      </c>
      <c r="C427" s="4" t="s">
        <v>1011</v>
      </c>
      <c r="D427" s="8" t="s">
        <v>11</v>
      </c>
      <c r="E427" s="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2">
        <v>426.0</v>
      </c>
      <c r="B428" s="33">
        <v>45761.0</v>
      </c>
      <c r="C428" s="4" t="s">
        <v>1012</v>
      </c>
      <c r="D428" s="8" t="s">
        <v>11</v>
      </c>
      <c r="E428" s="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2">
        <v>427.0</v>
      </c>
      <c r="B429" s="33">
        <v>45761.0</v>
      </c>
      <c r="C429" s="4" t="s">
        <v>1013</v>
      </c>
      <c r="D429" s="8" t="s">
        <v>90</v>
      </c>
      <c r="E429" s="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2">
        <v>428.0</v>
      </c>
      <c r="B430" s="33">
        <v>45761.0</v>
      </c>
      <c r="C430" s="4" t="s">
        <v>1005</v>
      </c>
      <c r="D430" s="8" t="s">
        <v>13</v>
      </c>
      <c r="E430" s="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2">
        <v>429.0</v>
      </c>
      <c r="B431" s="33">
        <v>45761.0</v>
      </c>
      <c r="C431" s="4" t="s">
        <v>1005</v>
      </c>
      <c r="D431" s="8" t="s">
        <v>13</v>
      </c>
      <c r="E431" s="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2">
        <v>430.0</v>
      </c>
      <c r="B432" s="33">
        <v>45761.0</v>
      </c>
      <c r="C432" s="4" t="s">
        <v>1014</v>
      </c>
      <c r="D432" s="8" t="s">
        <v>178</v>
      </c>
      <c r="E432" s="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2">
        <v>431.0</v>
      </c>
      <c r="B433" s="33">
        <v>45761.0</v>
      </c>
      <c r="C433" s="4" t="s">
        <v>1015</v>
      </c>
      <c r="D433" s="8" t="s">
        <v>578</v>
      </c>
      <c r="E433" s="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2">
        <v>432.0</v>
      </c>
      <c r="B434" s="33">
        <v>45761.0</v>
      </c>
      <c r="C434" s="4" t="s">
        <v>1016</v>
      </c>
      <c r="D434" s="8" t="s">
        <v>11</v>
      </c>
      <c r="E434" s="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2">
        <v>433.0</v>
      </c>
      <c r="B435" s="33">
        <v>45761.0</v>
      </c>
      <c r="C435" s="4" t="s">
        <v>1017</v>
      </c>
      <c r="D435" s="8" t="s">
        <v>168</v>
      </c>
      <c r="E435" s="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2">
        <v>434.0</v>
      </c>
      <c r="B436" s="33">
        <v>45761.0</v>
      </c>
      <c r="C436" s="4" t="s">
        <v>1018</v>
      </c>
      <c r="D436" s="8" t="s">
        <v>11</v>
      </c>
      <c r="E436" s="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2">
        <v>435.0</v>
      </c>
      <c r="B437" s="33">
        <v>45761.0</v>
      </c>
      <c r="C437" s="4" t="s">
        <v>1019</v>
      </c>
      <c r="D437" s="8" t="s">
        <v>22</v>
      </c>
      <c r="E437" s="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2">
        <v>436.0</v>
      </c>
      <c r="B438" s="33">
        <v>45761.0</v>
      </c>
      <c r="C438" s="4" t="s">
        <v>1020</v>
      </c>
      <c r="D438" s="8" t="s">
        <v>184</v>
      </c>
      <c r="E438" s="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2">
        <v>437.0</v>
      </c>
      <c r="B439" s="33">
        <v>45761.0</v>
      </c>
      <c r="C439" s="4" t="s">
        <v>1021</v>
      </c>
      <c r="D439" s="8" t="s">
        <v>11</v>
      </c>
      <c r="E439" s="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2">
        <v>438.0</v>
      </c>
      <c r="B440" s="33">
        <v>45762.0</v>
      </c>
      <c r="C440" s="4" t="s">
        <v>1022</v>
      </c>
      <c r="D440" s="8" t="s">
        <v>22</v>
      </c>
      <c r="E440" s="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2">
        <v>439.0</v>
      </c>
      <c r="B441" s="33">
        <v>45762.0</v>
      </c>
      <c r="C441" s="4" t="s">
        <v>1023</v>
      </c>
      <c r="D441" s="8" t="s">
        <v>178</v>
      </c>
      <c r="E441" s="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2">
        <v>440.0</v>
      </c>
      <c r="B442" s="33">
        <v>45762.0</v>
      </c>
      <c r="C442" s="4" t="s">
        <v>1024</v>
      </c>
      <c r="D442" s="8" t="s">
        <v>13</v>
      </c>
      <c r="E442" s="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2">
        <v>441.0</v>
      </c>
      <c r="B443" s="33">
        <v>45762.0</v>
      </c>
      <c r="C443" s="4" t="s">
        <v>1025</v>
      </c>
      <c r="D443" s="8" t="s">
        <v>11</v>
      </c>
      <c r="E443" s="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2">
        <v>442.0</v>
      </c>
      <c r="B444" s="33">
        <v>45762.0</v>
      </c>
      <c r="C444" s="4" t="s">
        <v>1026</v>
      </c>
      <c r="D444" s="8" t="s">
        <v>25</v>
      </c>
      <c r="E444" s="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2">
        <v>443.0</v>
      </c>
      <c r="B445" s="33">
        <v>45762.0</v>
      </c>
      <c r="C445" s="4" t="s">
        <v>1026</v>
      </c>
      <c r="D445" s="8" t="s">
        <v>25</v>
      </c>
      <c r="E445" s="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2">
        <v>444.0</v>
      </c>
      <c r="B446" s="33">
        <v>45762.0</v>
      </c>
      <c r="C446" s="4" t="s">
        <v>1026</v>
      </c>
      <c r="D446" s="8" t="s">
        <v>25</v>
      </c>
      <c r="E446" s="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2">
        <v>445.0</v>
      </c>
      <c r="B447" s="33">
        <v>45762.0</v>
      </c>
      <c r="C447" s="4" t="s">
        <v>1027</v>
      </c>
      <c r="D447" s="8" t="s">
        <v>25</v>
      </c>
      <c r="E447" s="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2">
        <v>446.0</v>
      </c>
      <c r="B448" s="33">
        <v>45762.0</v>
      </c>
      <c r="C448" s="4" t="s">
        <v>1028</v>
      </c>
      <c r="D448" s="8" t="s">
        <v>25</v>
      </c>
      <c r="E448" s="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2">
        <v>447.0</v>
      </c>
      <c r="B449" s="33">
        <v>45762.0</v>
      </c>
      <c r="C449" s="4" t="s">
        <v>1029</v>
      </c>
      <c r="D449" s="8" t="s">
        <v>25</v>
      </c>
      <c r="E449" s="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2">
        <v>448.0</v>
      </c>
      <c r="B450" s="33">
        <v>45762.0</v>
      </c>
      <c r="C450" s="4" t="s">
        <v>1028</v>
      </c>
      <c r="D450" s="8" t="s">
        <v>25</v>
      </c>
      <c r="E450" s="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2">
        <v>449.0</v>
      </c>
      <c r="B451" s="33">
        <v>45763.0</v>
      </c>
      <c r="C451" s="4" t="s">
        <v>1030</v>
      </c>
      <c r="D451" s="8" t="s">
        <v>13</v>
      </c>
      <c r="E451" s="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2">
        <v>450.0</v>
      </c>
      <c r="B452" s="33">
        <v>45763.0</v>
      </c>
      <c r="C452" s="4"/>
      <c r="D452" s="8"/>
      <c r="E452" s="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2">
        <v>451.0</v>
      </c>
      <c r="B453" s="33">
        <v>45763.0</v>
      </c>
      <c r="C453" s="4" t="s">
        <v>1031</v>
      </c>
      <c r="D453" s="8" t="s">
        <v>11</v>
      </c>
      <c r="E453" s="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2">
        <v>452.0</v>
      </c>
      <c r="B454" s="33">
        <v>45763.0</v>
      </c>
      <c r="C454" s="4" t="s">
        <v>1032</v>
      </c>
      <c r="D454" s="8" t="s">
        <v>168</v>
      </c>
      <c r="E454" s="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2">
        <v>453.0</v>
      </c>
      <c r="B455" s="33">
        <v>45763.0</v>
      </c>
      <c r="C455" s="4" t="s">
        <v>1033</v>
      </c>
      <c r="D455" s="8" t="s">
        <v>11</v>
      </c>
      <c r="E455" s="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2">
        <v>454.0</v>
      </c>
      <c r="B456" s="33">
        <v>45763.0</v>
      </c>
      <c r="C456" s="4" t="s">
        <v>1034</v>
      </c>
      <c r="D456" s="8" t="s">
        <v>13</v>
      </c>
      <c r="E456" s="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2">
        <v>455.0</v>
      </c>
      <c r="B457" s="33">
        <v>45763.0</v>
      </c>
      <c r="C457" s="4" t="s">
        <v>827</v>
      </c>
      <c r="D457" s="8" t="s">
        <v>29</v>
      </c>
      <c r="E457" s="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2">
        <v>456.0</v>
      </c>
      <c r="B458" s="33">
        <v>45763.0</v>
      </c>
      <c r="C458" s="4" t="s">
        <v>1035</v>
      </c>
      <c r="D458" s="8" t="s">
        <v>77</v>
      </c>
      <c r="E458" s="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2">
        <v>457.0</v>
      </c>
      <c r="B459" s="33">
        <v>45763.0</v>
      </c>
      <c r="C459" s="4" t="s">
        <v>1036</v>
      </c>
      <c r="D459" s="8" t="s">
        <v>13</v>
      </c>
      <c r="E459" s="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2">
        <v>458.0</v>
      </c>
      <c r="B460" s="33">
        <v>45763.0</v>
      </c>
      <c r="C460" s="4" t="s">
        <v>1037</v>
      </c>
      <c r="D460" s="8" t="s">
        <v>11</v>
      </c>
      <c r="E460" s="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2">
        <v>459.0</v>
      </c>
      <c r="B461" s="33">
        <v>45763.0</v>
      </c>
      <c r="C461" s="4" t="s">
        <v>1038</v>
      </c>
      <c r="D461" s="8" t="s">
        <v>11</v>
      </c>
      <c r="E461" s="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2">
        <v>460.0</v>
      </c>
      <c r="B462" s="33">
        <v>45763.0</v>
      </c>
      <c r="C462" s="4" t="s">
        <v>1039</v>
      </c>
      <c r="D462" s="8" t="s">
        <v>11</v>
      </c>
      <c r="E462" s="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2">
        <v>461.0</v>
      </c>
      <c r="B463" s="33">
        <v>45763.0</v>
      </c>
      <c r="C463" s="4" t="s">
        <v>1040</v>
      </c>
      <c r="D463" s="8" t="s">
        <v>11</v>
      </c>
      <c r="E463" s="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2">
        <v>462.0</v>
      </c>
      <c r="B464" s="33">
        <v>45763.0</v>
      </c>
      <c r="C464" s="4" t="s">
        <v>1041</v>
      </c>
      <c r="D464" s="8" t="s">
        <v>11</v>
      </c>
      <c r="E464" s="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2">
        <v>463.0</v>
      </c>
      <c r="B465" s="33">
        <v>45763.0</v>
      </c>
      <c r="C465" s="4" t="s">
        <v>1042</v>
      </c>
      <c r="D465" s="8" t="s">
        <v>11</v>
      </c>
      <c r="E465" s="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2">
        <v>464.0</v>
      </c>
      <c r="B466" s="33">
        <v>45769.0</v>
      </c>
      <c r="C466" s="4" t="s">
        <v>1043</v>
      </c>
      <c r="D466" s="8" t="s">
        <v>11</v>
      </c>
      <c r="E466" s="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2">
        <v>465.0</v>
      </c>
      <c r="B467" s="33">
        <v>45769.0</v>
      </c>
      <c r="C467" s="4" t="s">
        <v>1044</v>
      </c>
      <c r="D467" s="8" t="s">
        <v>25</v>
      </c>
      <c r="E467" s="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2">
        <v>466.0</v>
      </c>
      <c r="B468" s="33">
        <v>45769.0</v>
      </c>
      <c r="C468" s="4" t="s">
        <v>1045</v>
      </c>
      <c r="D468" s="8" t="s">
        <v>11</v>
      </c>
      <c r="E468" s="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2">
        <v>467.0</v>
      </c>
      <c r="B469" s="33">
        <v>45769.0</v>
      </c>
      <c r="C469" s="4" t="s">
        <v>1046</v>
      </c>
      <c r="D469" s="8" t="s">
        <v>25</v>
      </c>
      <c r="E469" s="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2">
        <v>468.0</v>
      </c>
      <c r="B470" s="33">
        <v>45769.0</v>
      </c>
      <c r="C470" s="4" t="s">
        <v>1047</v>
      </c>
      <c r="D470" s="8" t="s">
        <v>578</v>
      </c>
      <c r="E470" s="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2">
        <v>469.0</v>
      </c>
      <c r="B471" s="33">
        <v>45769.0</v>
      </c>
      <c r="C471" s="4" t="s">
        <v>1048</v>
      </c>
      <c r="D471" s="8" t="s">
        <v>11</v>
      </c>
      <c r="E471" s="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2">
        <v>470.0</v>
      </c>
      <c r="B472" s="33">
        <v>45769.0</v>
      </c>
      <c r="C472" s="4" t="s">
        <v>1049</v>
      </c>
      <c r="D472" s="8" t="s">
        <v>22</v>
      </c>
      <c r="E472" s="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2">
        <v>471.0</v>
      </c>
      <c r="B473" s="33">
        <v>45769.0</v>
      </c>
      <c r="C473" s="4" t="s">
        <v>1050</v>
      </c>
      <c r="D473" s="8" t="s">
        <v>22</v>
      </c>
      <c r="E473" s="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2">
        <v>472.0</v>
      </c>
      <c r="B474" s="33">
        <v>45769.0</v>
      </c>
      <c r="C474" s="4" t="s">
        <v>1051</v>
      </c>
      <c r="D474" s="8" t="s">
        <v>22</v>
      </c>
      <c r="E474" s="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2">
        <v>473.0</v>
      </c>
      <c r="B475" s="33">
        <v>45770.0</v>
      </c>
      <c r="C475" s="4" t="s">
        <v>1052</v>
      </c>
      <c r="D475" s="8" t="s">
        <v>11</v>
      </c>
      <c r="E475" s="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2">
        <v>474.0</v>
      </c>
      <c r="B476" s="33">
        <v>45770.0</v>
      </c>
      <c r="C476" s="4" t="s">
        <v>1053</v>
      </c>
      <c r="D476" s="8" t="s">
        <v>11</v>
      </c>
      <c r="E476" s="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2">
        <v>475.0</v>
      </c>
      <c r="B477" s="33">
        <v>45770.0</v>
      </c>
      <c r="C477" s="4" t="s">
        <v>1054</v>
      </c>
      <c r="D477" s="8" t="s">
        <v>11</v>
      </c>
      <c r="E477" s="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2">
        <v>476.0</v>
      </c>
      <c r="B478" s="33">
        <v>45770.0</v>
      </c>
      <c r="C478" s="4" t="s">
        <v>1055</v>
      </c>
      <c r="D478" s="8" t="s">
        <v>11</v>
      </c>
      <c r="E478" s="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2">
        <v>477.0</v>
      </c>
      <c r="B479" s="33">
        <v>45770.0</v>
      </c>
      <c r="C479" s="4" t="s">
        <v>1056</v>
      </c>
      <c r="D479" s="8" t="s">
        <v>25</v>
      </c>
      <c r="E479" s="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2">
        <v>478.0</v>
      </c>
      <c r="B480" s="33">
        <v>45770.0</v>
      </c>
      <c r="C480" s="4" t="s">
        <v>803</v>
      </c>
      <c r="D480" s="8" t="s">
        <v>13</v>
      </c>
      <c r="E480" s="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2">
        <v>479.0</v>
      </c>
      <c r="B481" s="33">
        <v>45770.0</v>
      </c>
      <c r="C481" s="4" t="s">
        <v>1057</v>
      </c>
      <c r="D481" s="8" t="s">
        <v>11</v>
      </c>
      <c r="E481" s="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2">
        <v>480.0</v>
      </c>
      <c r="B482" s="33">
        <v>45770.0</v>
      </c>
      <c r="C482" s="4" t="s">
        <v>1057</v>
      </c>
      <c r="D482" s="8" t="s">
        <v>11</v>
      </c>
      <c r="E482" s="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2">
        <v>481.0</v>
      </c>
      <c r="B483" s="33">
        <v>45770.0</v>
      </c>
      <c r="C483" s="4" t="s">
        <v>1057</v>
      </c>
      <c r="D483" s="8" t="s">
        <v>11</v>
      </c>
      <c r="E483" s="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2">
        <v>482.0</v>
      </c>
      <c r="B484" s="33">
        <v>45770.0</v>
      </c>
      <c r="C484" s="4" t="s">
        <v>1057</v>
      </c>
      <c r="D484" s="8" t="s">
        <v>11</v>
      </c>
      <c r="E484" s="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2">
        <v>483.0</v>
      </c>
      <c r="B485" s="33">
        <v>45771.0</v>
      </c>
      <c r="C485" s="4" t="s">
        <v>1058</v>
      </c>
      <c r="D485" s="8" t="s">
        <v>178</v>
      </c>
      <c r="E485" s="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2">
        <v>484.0</v>
      </c>
      <c r="B486" s="33">
        <v>45771.0</v>
      </c>
      <c r="C486" s="4" t="s">
        <v>1056</v>
      </c>
      <c r="D486" s="8" t="s">
        <v>11</v>
      </c>
      <c r="E486" s="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2">
        <v>485.0</v>
      </c>
      <c r="B487" s="33">
        <v>45771.0</v>
      </c>
      <c r="C487" s="4" t="s">
        <v>1059</v>
      </c>
      <c r="D487" s="8" t="s">
        <v>11</v>
      </c>
      <c r="E487" s="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2">
        <v>486.0</v>
      </c>
      <c r="B488" s="33">
        <v>45771.0</v>
      </c>
      <c r="C488" s="4" t="s">
        <v>1060</v>
      </c>
      <c r="D488" s="8" t="s">
        <v>725</v>
      </c>
      <c r="E488" s="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2">
        <v>487.0</v>
      </c>
      <c r="B489" s="33">
        <v>45771.0</v>
      </c>
      <c r="C489" s="4" t="s">
        <v>1061</v>
      </c>
      <c r="D489" s="8" t="s">
        <v>11</v>
      </c>
      <c r="E489" s="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2">
        <v>488.0</v>
      </c>
      <c r="B490" s="33">
        <v>45771.0</v>
      </c>
      <c r="C490" s="4" t="s">
        <v>1062</v>
      </c>
      <c r="D490" s="8" t="s">
        <v>11</v>
      </c>
      <c r="E490" s="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2">
        <v>489.0</v>
      </c>
      <c r="B491" s="33">
        <v>45771.0</v>
      </c>
      <c r="C491" s="4" t="s">
        <v>1063</v>
      </c>
      <c r="D491" s="8" t="s">
        <v>11</v>
      </c>
      <c r="E491" s="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2">
        <v>490.0</v>
      </c>
      <c r="B492" s="33">
        <v>45771.0</v>
      </c>
      <c r="C492" s="4"/>
      <c r="D492" s="8" t="s">
        <v>30</v>
      </c>
      <c r="E492" s="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2">
        <v>491.0</v>
      </c>
      <c r="B493" s="33">
        <v>45772.0</v>
      </c>
      <c r="C493" s="4"/>
      <c r="D493" s="8"/>
      <c r="E493" s="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2">
        <v>492.0</v>
      </c>
      <c r="B494" s="33">
        <v>45772.0</v>
      </c>
      <c r="C494" s="4"/>
      <c r="D494" s="8"/>
      <c r="E494" s="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2">
        <v>493.0</v>
      </c>
      <c r="B495" s="33">
        <v>45772.0</v>
      </c>
      <c r="C495" s="4" t="s">
        <v>1028</v>
      </c>
      <c r="D495" s="8" t="s">
        <v>11</v>
      </c>
      <c r="E495" s="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2">
        <v>494.0</v>
      </c>
      <c r="B496" s="33">
        <v>45772.0</v>
      </c>
      <c r="C496" s="4" t="s">
        <v>1064</v>
      </c>
      <c r="D496" s="8" t="s">
        <v>764</v>
      </c>
      <c r="E496" s="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2">
        <v>495.0</v>
      </c>
      <c r="B497" s="33">
        <v>45772.0</v>
      </c>
      <c r="C497" s="4" t="s">
        <v>1065</v>
      </c>
      <c r="D497" s="8" t="s">
        <v>764</v>
      </c>
      <c r="E497" s="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2">
        <v>496.0</v>
      </c>
      <c r="B498" s="33">
        <v>45772.0</v>
      </c>
      <c r="C498" s="4" t="s">
        <v>1066</v>
      </c>
      <c r="D498" s="8"/>
      <c r="E498" s="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2">
        <v>497.0</v>
      </c>
      <c r="B499" s="33">
        <v>45772.0</v>
      </c>
      <c r="C499" s="4" t="s">
        <v>1067</v>
      </c>
      <c r="D499" s="8" t="s">
        <v>20</v>
      </c>
      <c r="E499" s="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2">
        <v>498.0</v>
      </c>
      <c r="B500" s="33">
        <v>45772.0</v>
      </c>
      <c r="C500" s="4" t="s">
        <v>1068</v>
      </c>
      <c r="D500" s="8" t="s">
        <v>11</v>
      </c>
      <c r="E500" s="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2">
        <v>499.0</v>
      </c>
      <c r="B501" s="33">
        <v>45772.0</v>
      </c>
      <c r="C501" s="4" t="s">
        <v>1069</v>
      </c>
      <c r="D501" s="8" t="s">
        <v>11</v>
      </c>
      <c r="E501" s="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2">
        <v>500.0</v>
      </c>
      <c r="B502" s="33">
        <v>45772.0</v>
      </c>
      <c r="C502" s="4" t="s">
        <v>1070</v>
      </c>
      <c r="D502" s="8" t="s">
        <v>11</v>
      </c>
      <c r="E502" s="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2">
        <v>501.0</v>
      </c>
      <c r="B503" s="33">
        <v>45775.0</v>
      </c>
      <c r="C503" s="4" t="s">
        <v>778</v>
      </c>
      <c r="D503" s="8" t="s">
        <v>25</v>
      </c>
      <c r="E503" s="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2">
        <v>502.0</v>
      </c>
      <c r="B504" s="33">
        <v>45775.0</v>
      </c>
      <c r="C504" s="4" t="s">
        <v>966</v>
      </c>
      <c r="D504" s="8" t="s">
        <v>11</v>
      </c>
      <c r="E504" s="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2">
        <v>503.0</v>
      </c>
      <c r="B505" s="33">
        <v>45775.0</v>
      </c>
      <c r="C505" s="4" t="s">
        <v>1071</v>
      </c>
      <c r="D505" s="8" t="s">
        <v>13</v>
      </c>
      <c r="E505" s="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2">
        <v>504.0</v>
      </c>
      <c r="B506" s="33">
        <v>45775.0</v>
      </c>
      <c r="C506" s="4" t="s">
        <v>1072</v>
      </c>
      <c r="D506" s="8" t="s">
        <v>13</v>
      </c>
      <c r="E506" s="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2">
        <v>505.0</v>
      </c>
      <c r="B507" s="33">
        <v>45775.0</v>
      </c>
      <c r="C507" s="4" t="s">
        <v>1073</v>
      </c>
      <c r="D507" s="8" t="s">
        <v>13</v>
      </c>
      <c r="E507" s="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2">
        <v>506.0</v>
      </c>
      <c r="B508" s="33">
        <v>45775.0</v>
      </c>
      <c r="C508" s="4" t="s">
        <v>1074</v>
      </c>
      <c r="D508" s="8" t="s">
        <v>13</v>
      </c>
      <c r="E508" s="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2">
        <v>507.0</v>
      </c>
      <c r="B509" s="33">
        <v>45775.0</v>
      </c>
      <c r="C509" s="4" t="s">
        <v>1075</v>
      </c>
      <c r="D509" s="8" t="s">
        <v>13</v>
      </c>
      <c r="E509" s="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2">
        <v>508.0</v>
      </c>
      <c r="B510" s="33">
        <v>45775.0</v>
      </c>
      <c r="C510" s="4" t="s">
        <v>1076</v>
      </c>
      <c r="D510" s="8" t="s">
        <v>877</v>
      </c>
      <c r="E510" s="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2">
        <v>509.0</v>
      </c>
      <c r="B511" s="33">
        <v>45775.0</v>
      </c>
      <c r="C511" s="4" t="s">
        <v>841</v>
      </c>
      <c r="D511" s="8" t="s">
        <v>13</v>
      </c>
      <c r="E511" s="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2">
        <v>510.0</v>
      </c>
      <c r="B512" s="33">
        <v>45775.0</v>
      </c>
      <c r="C512" s="4" t="s">
        <v>1077</v>
      </c>
      <c r="D512" s="8" t="s">
        <v>11</v>
      </c>
      <c r="E512" s="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2">
        <v>511.0</v>
      </c>
      <c r="B513" s="33">
        <v>45775.0</v>
      </c>
      <c r="C513" s="4" t="s">
        <v>1078</v>
      </c>
      <c r="D513" s="8" t="s">
        <v>13</v>
      </c>
      <c r="E513" s="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2">
        <v>512.0</v>
      </c>
      <c r="B514" s="33">
        <v>45775.0</v>
      </c>
      <c r="C514" s="4" t="s">
        <v>1079</v>
      </c>
      <c r="D514" s="8" t="s">
        <v>22</v>
      </c>
      <c r="E514" s="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2">
        <v>513.0</v>
      </c>
      <c r="B515" s="33">
        <v>45776.0</v>
      </c>
      <c r="C515" s="4" t="s">
        <v>1080</v>
      </c>
      <c r="D515" s="8" t="s">
        <v>25</v>
      </c>
      <c r="E515" s="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2">
        <v>514.0</v>
      </c>
      <c r="B516" s="33">
        <v>45776.0</v>
      </c>
      <c r="C516" s="4" t="s">
        <v>1081</v>
      </c>
      <c r="D516" s="8" t="s">
        <v>22</v>
      </c>
      <c r="E516" s="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2">
        <v>515.0</v>
      </c>
      <c r="B517" s="33">
        <v>45776.0</v>
      </c>
      <c r="C517" s="4" t="s">
        <v>1082</v>
      </c>
      <c r="D517" s="8" t="s">
        <v>877</v>
      </c>
      <c r="E517" s="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2">
        <v>516.0</v>
      </c>
      <c r="B518" s="33">
        <v>45776.0</v>
      </c>
      <c r="C518" s="4" t="s">
        <v>841</v>
      </c>
      <c r="D518" s="8" t="s">
        <v>13</v>
      </c>
      <c r="E518" s="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2">
        <v>517.0</v>
      </c>
      <c r="B519" s="33">
        <v>45776.0</v>
      </c>
      <c r="C519" s="4" t="s">
        <v>841</v>
      </c>
      <c r="D519" s="8" t="s">
        <v>13</v>
      </c>
      <c r="E519" s="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2">
        <v>518.0</v>
      </c>
      <c r="B520" s="33">
        <v>45776.0</v>
      </c>
      <c r="C520" s="4" t="s">
        <v>1083</v>
      </c>
      <c r="D520" s="8" t="s">
        <v>17</v>
      </c>
      <c r="E520" s="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2">
        <v>519.0</v>
      </c>
      <c r="B521" s="33">
        <v>45776.0</v>
      </c>
      <c r="C521" s="4" t="s">
        <v>1084</v>
      </c>
      <c r="D521" s="8" t="s">
        <v>11</v>
      </c>
      <c r="E521" s="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2">
        <v>520.0</v>
      </c>
      <c r="B522" s="33">
        <v>45776.0</v>
      </c>
      <c r="C522" s="4" t="s">
        <v>1085</v>
      </c>
      <c r="D522" s="8" t="s">
        <v>11</v>
      </c>
      <c r="E522" s="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2">
        <v>521.0</v>
      </c>
      <c r="B523" s="33">
        <v>45776.0</v>
      </c>
      <c r="C523" s="4" t="s">
        <v>1086</v>
      </c>
      <c r="D523" s="8" t="s">
        <v>11</v>
      </c>
      <c r="E523" s="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2">
        <v>522.0</v>
      </c>
      <c r="B524" s="33">
        <v>45777.0</v>
      </c>
      <c r="C524" s="4" t="s">
        <v>661</v>
      </c>
      <c r="D524" s="8" t="s">
        <v>25</v>
      </c>
      <c r="E524" s="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2">
        <v>523.0</v>
      </c>
      <c r="B525" s="33">
        <v>45777.0</v>
      </c>
      <c r="C525" s="4" t="s">
        <v>1035</v>
      </c>
      <c r="D525" s="8" t="s">
        <v>77</v>
      </c>
      <c r="E525" s="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2">
        <v>524.0</v>
      </c>
      <c r="B526" s="33">
        <v>45777.0</v>
      </c>
      <c r="C526" s="4" t="s">
        <v>1087</v>
      </c>
      <c r="D526" s="8" t="s">
        <v>77</v>
      </c>
      <c r="E526" s="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2">
        <v>525.0</v>
      </c>
      <c r="B527" s="33">
        <v>45777.0</v>
      </c>
      <c r="C527" s="4" t="s">
        <v>841</v>
      </c>
      <c r="D527" s="8" t="s">
        <v>13</v>
      </c>
      <c r="E527" s="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2">
        <v>526.0</v>
      </c>
      <c r="B528" s="33">
        <v>45777.0</v>
      </c>
      <c r="C528" s="4" t="s">
        <v>1088</v>
      </c>
      <c r="D528" s="8" t="s">
        <v>11</v>
      </c>
      <c r="E528" s="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2">
        <v>527.0</v>
      </c>
      <c r="B529" s="33">
        <v>45779.0</v>
      </c>
      <c r="C529" s="4" t="s">
        <v>661</v>
      </c>
      <c r="D529" s="8" t="s">
        <v>25</v>
      </c>
      <c r="E529" s="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2">
        <v>528.0</v>
      </c>
      <c r="B530" s="33">
        <v>45779.0</v>
      </c>
      <c r="C530" s="4" t="s">
        <v>661</v>
      </c>
      <c r="D530" s="8" t="s">
        <v>25</v>
      </c>
      <c r="E530" s="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2">
        <v>529.0</v>
      </c>
      <c r="B531" s="33">
        <v>45779.0</v>
      </c>
      <c r="C531" s="4" t="s">
        <v>1089</v>
      </c>
      <c r="D531" s="8" t="s">
        <v>11</v>
      </c>
      <c r="E531" s="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2">
        <v>530.0</v>
      </c>
      <c r="B532" s="33">
        <v>45779.0</v>
      </c>
      <c r="C532" s="4" t="s">
        <v>1090</v>
      </c>
      <c r="D532" s="8" t="s">
        <v>11</v>
      </c>
      <c r="E532" s="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2">
        <v>531.0</v>
      </c>
      <c r="B533" s="33">
        <v>45779.0</v>
      </c>
      <c r="C533" s="4" t="s">
        <v>1091</v>
      </c>
      <c r="D533" s="8" t="s">
        <v>11</v>
      </c>
      <c r="E533" s="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2">
        <v>532.0</v>
      </c>
      <c r="B534" s="33">
        <v>45779.0</v>
      </c>
      <c r="C534" s="4" t="s">
        <v>1092</v>
      </c>
      <c r="D534" s="8" t="s">
        <v>11</v>
      </c>
      <c r="E534" s="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2">
        <v>533.0</v>
      </c>
      <c r="B535" s="33">
        <v>45779.0</v>
      </c>
      <c r="C535" s="4" t="s">
        <v>1093</v>
      </c>
      <c r="D535" s="8" t="s">
        <v>25</v>
      </c>
      <c r="E535" s="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2">
        <v>534.0</v>
      </c>
      <c r="B536" s="33">
        <v>45779.0</v>
      </c>
      <c r="C536" s="4" t="s">
        <v>1093</v>
      </c>
      <c r="D536" s="8" t="s">
        <v>25</v>
      </c>
      <c r="E536" s="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2">
        <v>535.0</v>
      </c>
      <c r="B537" s="33">
        <v>45779.0</v>
      </c>
      <c r="C537" s="4" t="s">
        <v>1094</v>
      </c>
      <c r="D537" s="8" t="s">
        <v>30</v>
      </c>
      <c r="E537" s="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2">
        <v>536.0</v>
      </c>
      <c r="B538" s="33">
        <v>45779.0</v>
      </c>
      <c r="C538" s="4" t="s">
        <v>1095</v>
      </c>
      <c r="D538" s="8" t="s">
        <v>11</v>
      </c>
      <c r="E538" s="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2">
        <v>537.0</v>
      </c>
      <c r="B539" s="33">
        <v>45779.0</v>
      </c>
      <c r="C539" s="4" t="s">
        <v>1096</v>
      </c>
      <c r="D539" s="8" t="s">
        <v>11</v>
      </c>
      <c r="E539" s="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2">
        <v>538.0</v>
      </c>
      <c r="B540" s="33">
        <v>45779.0</v>
      </c>
      <c r="C540" s="4" t="s">
        <v>1097</v>
      </c>
      <c r="D540" s="8" t="s">
        <v>11</v>
      </c>
      <c r="E540" s="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2">
        <v>539.0</v>
      </c>
      <c r="B541" s="33">
        <v>45779.0</v>
      </c>
      <c r="C541" s="4" t="s">
        <v>841</v>
      </c>
      <c r="D541" s="8" t="s">
        <v>13</v>
      </c>
      <c r="E541" s="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2">
        <v>540.0</v>
      </c>
      <c r="B542" s="33">
        <v>45782.0</v>
      </c>
      <c r="C542" s="4" t="s">
        <v>1098</v>
      </c>
      <c r="D542" s="8" t="s">
        <v>13</v>
      </c>
      <c r="E542" s="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2">
        <v>541.0</v>
      </c>
      <c r="B543" s="33">
        <v>45782.0</v>
      </c>
      <c r="C543" s="4" t="s">
        <v>1099</v>
      </c>
      <c r="D543" s="8" t="s">
        <v>11</v>
      </c>
      <c r="E543" s="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2">
        <v>542.0</v>
      </c>
      <c r="B544" s="33">
        <v>45782.0</v>
      </c>
      <c r="C544" s="4" t="s">
        <v>841</v>
      </c>
      <c r="D544" s="8" t="s">
        <v>13</v>
      </c>
      <c r="E544" s="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2">
        <v>543.0</v>
      </c>
      <c r="B545" s="33">
        <v>45782.0</v>
      </c>
      <c r="C545" s="4" t="s">
        <v>1100</v>
      </c>
      <c r="D545" s="8" t="s">
        <v>11</v>
      </c>
      <c r="E545" s="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2">
        <v>544.0</v>
      </c>
      <c r="B546" s="33">
        <v>45783.0</v>
      </c>
      <c r="C546" s="4" t="s">
        <v>1101</v>
      </c>
      <c r="D546" s="8" t="s">
        <v>168</v>
      </c>
      <c r="E546" s="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2">
        <v>545.0</v>
      </c>
      <c r="B547" s="33">
        <v>45783.0</v>
      </c>
      <c r="C547" s="4" t="s">
        <v>1102</v>
      </c>
      <c r="D547" s="8" t="s">
        <v>11</v>
      </c>
      <c r="E547" s="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2">
        <v>546.0</v>
      </c>
      <c r="B548" s="33">
        <v>45814.0</v>
      </c>
      <c r="C548" s="4" t="s">
        <v>1103</v>
      </c>
      <c r="D548" s="8" t="s">
        <v>11</v>
      </c>
      <c r="E548" s="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2">
        <v>547.0</v>
      </c>
      <c r="B549" s="33">
        <v>45783.0</v>
      </c>
      <c r="C549" s="4" t="s">
        <v>1104</v>
      </c>
      <c r="D549" s="8" t="s">
        <v>11</v>
      </c>
      <c r="E549" s="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2">
        <v>548.0</v>
      </c>
      <c r="B550" s="33">
        <v>45783.0</v>
      </c>
      <c r="C550" s="4" t="s">
        <v>1105</v>
      </c>
      <c r="D550" s="8" t="s">
        <v>11</v>
      </c>
      <c r="E550" s="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2">
        <v>549.0</v>
      </c>
      <c r="B551" s="33">
        <v>45783.0</v>
      </c>
      <c r="C551" s="4" t="s">
        <v>1106</v>
      </c>
      <c r="D551" s="8" t="s">
        <v>11</v>
      </c>
      <c r="E551" s="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2">
        <v>550.0</v>
      </c>
      <c r="B552" s="33">
        <v>45783.0</v>
      </c>
      <c r="C552" s="4" t="s">
        <v>1107</v>
      </c>
      <c r="D552" s="8" t="s">
        <v>11</v>
      </c>
      <c r="E552" s="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2">
        <v>551.0</v>
      </c>
      <c r="B553" s="33">
        <v>45783.0</v>
      </c>
      <c r="C553" s="4" t="s">
        <v>1108</v>
      </c>
      <c r="D553" s="8" t="s">
        <v>25</v>
      </c>
      <c r="E553" s="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2">
        <v>552.0</v>
      </c>
      <c r="B554" s="33">
        <v>45783.0</v>
      </c>
      <c r="C554" s="4" t="s">
        <v>1109</v>
      </c>
      <c r="D554" s="8" t="s">
        <v>17</v>
      </c>
      <c r="E554" s="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2">
        <v>553.0</v>
      </c>
      <c r="B555" s="33">
        <v>45783.0</v>
      </c>
      <c r="C555" s="4" t="s">
        <v>1110</v>
      </c>
      <c r="D555" s="8" t="s">
        <v>178</v>
      </c>
      <c r="E555" s="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2">
        <v>554.0</v>
      </c>
      <c r="B556" s="33">
        <v>45783.0</v>
      </c>
      <c r="C556" s="4" t="s">
        <v>1111</v>
      </c>
      <c r="D556" s="8" t="s">
        <v>17</v>
      </c>
      <c r="E556" s="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2">
        <v>555.0</v>
      </c>
      <c r="B557" s="33">
        <v>45784.0</v>
      </c>
      <c r="C557" s="4" t="s">
        <v>1112</v>
      </c>
      <c r="D557" s="8" t="s">
        <v>77</v>
      </c>
      <c r="E557" s="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2">
        <v>556.0</v>
      </c>
      <c r="B558" s="33">
        <v>45784.0</v>
      </c>
      <c r="C558" s="4" t="s">
        <v>1113</v>
      </c>
      <c r="D558" s="8" t="s">
        <v>11</v>
      </c>
      <c r="E558" s="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2">
        <v>557.0</v>
      </c>
      <c r="B559" s="33">
        <v>45784.0</v>
      </c>
      <c r="C559" s="4" t="s">
        <v>1114</v>
      </c>
      <c r="D559" s="8" t="s">
        <v>25</v>
      </c>
      <c r="E559" s="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2">
        <v>558.0</v>
      </c>
      <c r="B560" s="33">
        <v>45784.0</v>
      </c>
      <c r="C560" s="4" t="s">
        <v>1115</v>
      </c>
      <c r="D560" s="8" t="s">
        <v>25</v>
      </c>
      <c r="E560" s="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2">
        <v>559.0</v>
      </c>
      <c r="B561" s="33">
        <v>45784.0</v>
      </c>
      <c r="C561" s="4" t="s">
        <v>1116</v>
      </c>
      <c r="D561" s="8" t="s">
        <v>25</v>
      </c>
      <c r="E561" s="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2">
        <v>560.0</v>
      </c>
      <c r="B562" s="33">
        <v>45784.0</v>
      </c>
      <c r="C562" s="4" t="s">
        <v>661</v>
      </c>
      <c r="D562" s="8" t="s">
        <v>25</v>
      </c>
      <c r="E562" s="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2">
        <v>561.0</v>
      </c>
      <c r="B563" s="33">
        <v>45784.0</v>
      </c>
      <c r="C563" s="4" t="s">
        <v>1117</v>
      </c>
      <c r="D563" s="8" t="s">
        <v>22</v>
      </c>
      <c r="E563" s="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2">
        <v>562.0</v>
      </c>
      <c r="B564" s="33">
        <v>45784.0</v>
      </c>
      <c r="C564" s="4" t="s">
        <v>1118</v>
      </c>
      <c r="D564" s="8" t="s">
        <v>11</v>
      </c>
      <c r="E564" s="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2">
        <v>563.0</v>
      </c>
      <c r="B565" s="33">
        <v>45784.0</v>
      </c>
      <c r="C565" s="4" t="s">
        <v>1119</v>
      </c>
      <c r="D565" s="8" t="s">
        <v>25</v>
      </c>
      <c r="E565" s="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2">
        <v>564.0</v>
      </c>
      <c r="B566" s="33">
        <v>45784.0</v>
      </c>
      <c r="C566" s="4" t="s">
        <v>1120</v>
      </c>
      <c r="D566" s="8" t="s">
        <v>178</v>
      </c>
      <c r="E566" s="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2">
        <v>565.0</v>
      </c>
      <c r="B567" s="33">
        <v>45784.0</v>
      </c>
      <c r="C567" s="4" t="s">
        <v>1121</v>
      </c>
      <c r="D567" s="8" t="s">
        <v>25</v>
      </c>
      <c r="E567" s="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2">
        <v>566.0</v>
      </c>
      <c r="B568" s="33">
        <v>45784.0</v>
      </c>
      <c r="C568" s="4" t="s">
        <v>1122</v>
      </c>
      <c r="D568" s="8" t="s">
        <v>22</v>
      </c>
      <c r="E568" s="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2">
        <v>567.0</v>
      </c>
      <c r="B569" s="33">
        <v>45784.0</v>
      </c>
      <c r="C569" s="4" t="s">
        <v>1123</v>
      </c>
      <c r="D569" s="8" t="s">
        <v>11</v>
      </c>
      <c r="E569" s="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2">
        <v>568.0</v>
      </c>
      <c r="B570" s="33">
        <v>45784.0</v>
      </c>
      <c r="C570" s="4" t="s">
        <v>1124</v>
      </c>
      <c r="D570" s="8" t="s">
        <v>25</v>
      </c>
      <c r="E570" s="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2">
        <v>569.0</v>
      </c>
      <c r="B571" s="33">
        <v>45784.0</v>
      </c>
      <c r="C571" s="4" t="s">
        <v>1125</v>
      </c>
      <c r="D571" s="8" t="s">
        <v>25</v>
      </c>
      <c r="E571" s="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2">
        <v>570.0</v>
      </c>
      <c r="B572" s="33">
        <v>45784.0</v>
      </c>
      <c r="C572" s="4"/>
      <c r="D572" s="8"/>
      <c r="E572" s="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2">
        <v>571.0</v>
      </c>
      <c r="B573" s="33">
        <v>45784.0</v>
      </c>
      <c r="C573" s="4" t="s">
        <v>1126</v>
      </c>
      <c r="D573" s="8" t="s">
        <v>13</v>
      </c>
      <c r="E573" s="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2">
        <v>572.0</v>
      </c>
      <c r="B574" s="33">
        <v>45784.0</v>
      </c>
      <c r="C574" s="4" t="s">
        <v>1127</v>
      </c>
      <c r="D574" s="8" t="s">
        <v>11</v>
      </c>
      <c r="E574" s="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2">
        <v>573.0</v>
      </c>
      <c r="B575" s="33">
        <v>45784.0</v>
      </c>
      <c r="C575" s="4" t="s">
        <v>1128</v>
      </c>
      <c r="D575" s="8" t="s">
        <v>25</v>
      </c>
      <c r="E575" s="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2">
        <v>574.0</v>
      </c>
      <c r="B576" s="33">
        <v>45784.0</v>
      </c>
      <c r="C576" s="4" t="s">
        <v>1129</v>
      </c>
      <c r="D576" s="8" t="s">
        <v>77</v>
      </c>
      <c r="E576" s="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2">
        <v>575.0</v>
      </c>
      <c r="B577" s="33">
        <v>45784.0</v>
      </c>
      <c r="C577" s="4" t="s">
        <v>1130</v>
      </c>
      <c r="D577" s="8" t="s">
        <v>11</v>
      </c>
      <c r="E577" s="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2">
        <v>576.0</v>
      </c>
      <c r="B578" s="33">
        <v>45784.0</v>
      </c>
      <c r="C578" s="4" t="s">
        <v>1131</v>
      </c>
      <c r="D578" s="8" t="s">
        <v>11</v>
      </c>
      <c r="E578" s="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2">
        <v>577.0</v>
      </c>
      <c r="B579" s="33">
        <v>45785.0</v>
      </c>
      <c r="C579" s="4" t="s">
        <v>1132</v>
      </c>
      <c r="D579" s="8" t="s">
        <v>11</v>
      </c>
      <c r="E579" s="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2">
        <v>578.0</v>
      </c>
      <c r="B580" s="33">
        <v>45785.0</v>
      </c>
      <c r="C580" s="4" t="s">
        <v>1133</v>
      </c>
      <c r="D580" s="8" t="s">
        <v>178</v>
      </c>
      <c r="E580" s="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2">
        <v>579.0</v>
      </c>
      <c r="B581" s="33">
        <v>45785.0</v>
      </c>
      <c r="C581" s="4" t="s">
        <v>1134</v>
      </c>
      <c r="D581" s="8" t="s">
        <v>13</v>
      </c>
      <c r="E581" s="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2">
        <v>580.0</v>
      </c>
      <c r="B582" s="33">
        <v>45785.0</v>
      </c>
      <c r="C582" s="4" t="s">
        <v>1135</v>
      </c>
      <c r="D582" s="8" t="s">
        <v>13</v>
      </c>
      <c r="E582" s="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2">
        <v>581.0</v>
      </c>
      <c r="B583" s="33">
        <v>45785.0</v>
      </c>
      <c r="C583" s="4" t="s">
        <v>1136</v>
      </c>
      <c r="D583" s="8" t="s">
        <v>13</v>
      </c>
      <c r="E583" s="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2">
        <v>582.0</v>
      </c>
      <c r="B584" s="33">
        <v>45785.0</v>
      </c>
      <c r="C584" s="4" t="s">
        <v>1136</v>
      </c>
      <c r="D584" s="8" t="s">
        <v>13</v>
      </c>
      <c r="E584" s="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2">
        <v>583.0</v>
      </c>
      <c r="B585" s="33">
        <v>45785.0</v>
      </c>
      <c r="C585" s="4" t="s">
        <v>1137</v>
      </c>
      <c r="D585" s="8" t="s">
        <v>22</v>
      </c>
      <c r="E585" s="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2">
        <v>584.0</v>
      </c>
      <c r="B586" s="33">
        <v>45785.0</v>
      </c>
      <c r="C586" s="4" t="s">
        <v>1138</v>
      </c>
      <c r="D586" s="8" t="s">
        <v>22</v>
      </c>
      <c r="E586" s="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2">
        <v>585.0</v>
      </c>
      <c r="B587" s="33">
        <v>45785.0</v>
      </c>
      <c r="C587" s="4" t="s">
        <v>1139</v>
      </c>
      <c r="D587" s="8" t="s">
        <v>13</v>
      </c>
      <c r="E587" s="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2">
        <v>586.0</v>
      </c>
      <c r="B588" s="33">
        <v>45785.0</v>
      </c>
      <c r="C588" s="4" t="s">
        <v>1140</v>
      </c>
      <c r="D588" s="8" t="s">
        <v>13</v>
      </c>
      <c r="E588" s="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2">
        <v>587.0</v>
      </c>
      <c r="B589" s="33">
        <v>45785.0</v>
      </c>
      <c r="C589" s="4" t="s">
        <v>1141</v>
      </c>
      <c r="D589" s="8" t="s">
        <v>25</v>
      </c>
      <c r="E589" s="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2">
        <v>588.0</v>
      </c>
      <c r="B590" s="33">
        <v>45785.0</v>
      </c>
      <c r="C590" s="4" t="s">
        <v>1142</v>
      </c>
      <c r="D590" s="8" t="s">
        <v>25</v>
      </c>
      <c r="E590" s="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2">
        <v>589.0</v>
      </c>
      <c r="B591" s="33">
        <v>45785.0</v>
      </c>
      <c r="C591" s="4" t="s">
        <v>1143</v>
      </c>
      <c r="D591" s="8" t="s">
        <v>25</v>
      </c>
      <c r="E591" s="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2">
        <v>590.0</v>
      </c>
      <c r="B592" s="33">
        <v>45785.0</v>
      </c>
      <c r="C592" s="4" t="s">
        <v>1144</v>
      </c>
      <c r="D592" s="8" t="s">
        <v>22</v>
      </c>
      <c r="E592" s="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2">
        <v>591.0</v>
      </c>
      <c r="B593" s="33">
        <v>45785.0</v>
      </c>
      <c r="C593" s="4" t="s">
        <v>1145</v>
      </c>
      <c r="D593" s="8" t="s">
        <v>11</v>
      </c>
      <c r="E593" s="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2">
        <v>592.0</v>
      </c>
      <c r="B594" s="33">
        <v>45785.0</v>
      </c>
      <c r="C594" s="4" t="s">
        <v>1146</v>
      </c>
      <c r="D594" s="8" t="s">
        <v>25</v>
      </c>
      <c r="E594" s="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2">
        <v>593.0</v>
      </c>
      <c r="B595" s="33"/>
      <c r="C595" s="4"/>
      <c r="D595" s="8"/>
      <c r="E595" s="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2">
        <v>594.0</v>
      </c>
      <c r="B596" s="34"/>
      <c r="C596" s="4"/>
      <c r="D596" s="8"/>
      <c r="E596" s="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2">
        <v>595.0</v>
      </c>
      <c r="B597" s="34"/>
      <c r="C597" s="4"/>
      <c r="D597" s="8"/>
      <c r="E597" s="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2">
        <v>596.0</v>
      </c>
      <c r="B598" s="34"/>
      <c r="C598" s="4"/>
      <c r="D598" s="8"/>
      <c r="E598" s="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2">
        <v>597.0</v>
      </c>
      <c r="B599" s="34"/>
      <c r="C599" s="4"/>
      <c r="D599" s="8"/>
      <c r="E599" s="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2">
        <v>598.0</v>
      </c>
      <c r="B600" s="34"/>
      <c r="C600" s="4"/>
      <c r="D600" s="8"/>
      <c r="E600" s="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2">
        <v>599.0</v>
      </c>
      <c r="B601" s="34"/>
      <c r="C601" s="4"/>
      <c r="D601" s="8"/>
      <c r="E601" s="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2">
        <v>600.0</v>
      </c>
      <c r="B602" s="34"/>
      <c r="C602" s="4"/>
      <c r="D602" s="8"/>
      <c r="E602" s="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2">
        <v>601.0</v>
      </c>
      <c r="B603" s="34"/>
      <c r="C603" s="4"/>
      <c r="D603" s="8"/>
      <c r="E603" s="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2">
        <v>602.0</v>
      </c>
      <c r="B604" s="34"/>
      <c r="C604" s="4"/>
      <c r="D604" s="8"/>
      <c r="E604" s="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2">
        <v>603.0</v>
      </c>
      <c r="B605" s="34"/>
      <c r="C605" s="4"/>
      <c r="D605" s="8"/>
      <c r="E605" s="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2">
        <v>604.0</v>
      </c>
      <c r="B606" s="34"/>
      <c r="C606" s="4"/>
      <c r="D606" s="8"/>
      <c r="E606" s="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2">
        <v>605.0</v>
      </c>
      <c r="B607" s="34"/>
      <c r="C607" s="4"/>
      <c r="D607" s="8"/>
      <c r="E607" s="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2">
        <v>606.0</v>
      </c>
      <c r="B608" s="34"/>
      <c r="C608" s="4"/>
      <c r="D608" s="8"/>
      <c r="E608" s="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2">
        <v>607.0</v>
      </c>
      <c r="B609" s="34"/>
      <c r="C609" s="4"/>
      <c r="D609" s="8"/>
      <c r="E609" s="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2">
        <v>608.0</v>
      </c>
      <c r="B610" s="34"/>
      <c r="C610" s="4"/>
      <c r="D610" s="8"/>
      <c r="E610" s="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2">
        <v>609.0</v>
      </c>
      <c r="B611" s="34"/>
      <c r="C611" s="4"/>
      <c r="D611" s="8"/>
      <c r="E611" s="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2">
        <v>610.0</v>
      </c>
      <c r="B612" s="34"/>
      <c r="C612" s="4"/>
      <c r="D612" s="8"/>
      <c r="E612" s="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2">
        <v>611.0</v>
      </c>
      <c r="B613" s="34"/>
      <c r="C613" s="4"/>
      <c r="D613" s="8"/>
      <c r="E613" s="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2">
        <v>612.0</v>
      </c>
      <c r="B614" s="34"/>
      <c r="C614" s="4"/>
      <c r="D614" s="8"/>
      <c r="E614" s="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2">
        <v>613.0</v>
      </c>
      <c r="B615" s="34"/>
      <c r="C615" s="4"/>
      <c r="D615" s="8"/>
      <c r="E615" s="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2">
        <v>614.0</v>
      </c>
      <c r="B616" s="34"/>
      <c r="C616" s="4"/>
      <c r="D616" s="8"/>
      <c r="E616" s="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2">
        <v>615.0</v>
      </c>
      <c r="B617" s="34"/>
      <c r="C617" s="4"/>
      <c r="D617" s="8"/>
      <c r="E617" s="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2">
        <v>616.0</v>
      </c>
      <c r="B618" s="34"/>
      <c r="C618" s="4"/>
      <c r="D618" s="8"/>
      <c r="E618" s="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2">
        <v>617.0</v>
      </c>
      <c r="B619" s="34"/>
      <c r="C619" s="4"/>
      <c r="D619" s="8"/>
      <c r="E619" s="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2">
        <v>618.0</v>
      </c>
      <c r="B620" s="34"/>
      <c r="C620" s="4"/>
      <c r="D620" s="8"/>
      <c r="E620" s="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2">
        <v>619.0</v>
      </c>
      <c r="B621" s="34"/>
      <c r="C621" s="4"/>
      <c r="D621" s="8"/>
      <c r="E621" s="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2">
        <v>620.0</v>
      </c>
      <c r="B622" s="34"/>
      <c r="C622" s="4"/>
      <c r="D622" s="8"/>
      <c r="E622" s="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2">
        <v>621.0</v>
      </c>
      <c r="B623" s="34"/>
      <c r="C623" s="4"/>
      <c r="D623" s="8"/>
      <c r="E623" s="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2">
        <v>622.0</v>
      </c>
      <c r="B624" s="34"/>
      <c r="C624" s="4"/>
      <c r="D624" s="8"/>
      <c r="E624" s="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2">
        <v>623.0</v>
      </c>
      <c r="B625" s="34"/>
      <c r="C625" s="4"/>
      <c r="D625" s="8"/>
      <c r="E625" s="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2">
        <v>624.0</v>
      </c>
      <c r="B626" s="34"/>
      <c r="C626" s="4"/>
      <c r="D626" s="8"/>
      <c r="E626" s="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2">
        <v>625.0</v>
      </c>
      <c r="B627" s="34"/>
      <c r="C627" s="4"/>
      <c r="D627" s="8"/>
      <c r="E627" s="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2">
        <v>626.0</v>
      </c>
      <c r="B628" s="34"/>
      <c r="C628" s="4"/>
      <c r="D628" s="8"/>
      <c r="E628" s="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2">
        <v>627.0</v>
      </c>
      <c r="B629" s="34"/>
      <c r="C629" s="4"/>
      <c r="D629" s="8"/>
      <c r="E629" s="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2">
        <v>628.0</v>
      </c>
      <c r="B630" s="34"/>
      <c r="C630" s="4"/>
      <c r="D630" s="8"/>
      <c r="E630" s="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2">
        <v>629.0</v>
      </c>
      <c r="B631" s="34"/>
      <c r="C631" s="4"/>
      <c r="D631" s="8"/>
      <c r="E631" s="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2">
        <v>630.0</v>
      </c>
      <c r="B632" s="34"/>
      <c r="C632" s="4"/>
      <c r="D632" s="8"/>
      <c r="E632" s="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2">
        <v>631.0</v>
      </c>
      <c r="B633" s="34"/>
      <c r="C633" s="4"/>
      <c r="D633" s="8"/>
      <c r="E633" s="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2">
        <v>632.0</v>
      </c>
      <c r="B634" s="34"/>
      <c r="C634" s="4"/>
      <c r="D634" s="8"/>
      <c r="E634" s="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2">
        <v>633.0</v>
      </c>
      <c r="B635" s="34"/>
      <c r="C635" s="4"/>
      <c r="D635" s="8"/>
      <c r="E635" s="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2">
        <v>634.0</v>
      </c>
      <c r="B636" s="34"/>
      <c r="C636" s="4"/>
      <c r="D636" s="8"/>
      <c r="E636" s="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2">
        <v>635.0</v>
      </c>
      <c r="B637" s="34"/>
      <c r="C637" s="4"/>
      <c r="D637" s="8"/>
      <c r="E637" s="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2">
        <v>636.0</v>
      </c>
      <c r="B638" s="34"/>
      <c r="C638" s="4"/>
      <c r="D638" s="8"/>
      <c r="E638" s="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2">
        <v>637.0</v>
      </c>
      <c r="B639" s="34"/>
      <c r="C639" s="4"/>
      <c r="D639" s="8"/>
      <c r="E639" s="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2">
        <v>638.0</v>
      </c>
      <c r="B640" s="34"/>
      <c r="C640" s="4"/>
      <c r="D640" s="8"/>
      <c r="E640" s="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2">
        <v>639.0</v>
      </c>
      <c r="B641" s="34"/>
      <c r="C641" s="4"/>
      <c r="D641" s="8"/>
      <c r="E641" s="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2">
        <v>640.0</v>
      </c>
      <c r="B642" s="34"/>
      <c r="C642" s="4"/>
      <c r="D642" s="8"/>
      <c r="E642" s="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2">
        <v>641.0</v>
      </c>
      <c r="B643" s="34"/>
      <c r="C643" s="4"/>
      <c r="D643" s="8"/>
      <c r="E643" s="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2">
        <v>642.0</v>
      </c>
      <c r="B644" s="34"/>
      <c r="C644" s="4"/>
      <c r="D644" s="8"/>
      <c r="E644" s="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2">
        <v>643.0</v>
      </c>
      <c r="B645" s="34"/>
      <c r="C645" s="4"/>
      <c r="D645" s="8"/>
      <c r="E645" s="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2">
        <v>644.0</v>
      </c>
      <c r="B646" s="34"/>
      <c r="C646" s="4"/>
      <c r="D646" s="8"/>
      <c r="E646" s="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2">
        <v>645.0</v>
      </c>
      <c r="B647" s="34"/>
      <c r="C647" s="4"/>
      <c r="D647" s="8"/>
      <c r="E647" s="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2">
        <v>646.0</v>
      </c>
      <c r="B648" s="34"/>
      <c r="C648" s="4"/>
      <c r="D648" s="8"/>
      <c r="E648" s="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2">
        <v>647.0</v>
      </c>
      <c r="B649" s="34"/>
      <c r="C649" s="4"/>
      <c r="D649" s="8"/>
      <c r="E649" s="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2">
        <v>648.0</v>
      </c>
      <c r="B650" s="34"/>
      <c r="C650" s="4"/>
      <c r="D650" s="8"/>
      <c r="E650" s="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2">
        <v>649.0</v>
      </c>
      <c r="B651" s="34"/>
      <c r="C651" s="4"/>
      <c r="D651" s="8"/>
      <c r="E651" s="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2">
        <v>650.0</v>
      </c>
      <c r="B652" s="34"/>
      <c r="C652" s="4"/>
      <c r="D652" s="8"/>
      <c r="E652" s="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2">
        <v>651.0</v>
      </c>
      <c r="B653" s="34"/>
      <c r="C653" s="4"/>
      <c r="D653" s="8"/>
      <c r="E653" s="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2">
        <v>652.0</v>
      </c>
      <c r="B654" s="34"/>
      <c r="C654" s="4"/>
      <c r="D654" s="8"/>
      <c r="E654" s="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2">
        <v>653.0</v>
      </c>
      <c r="B655" s="34"/>
      <c r="C655" s="4"/>
      <c r="D655" s="8"/>
      <c r="E655" s="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2">
        <v>654.0</v>
      </c>
      <c r="B656" s="34"/>
      <c r="C656" s="4"/>
      <c r="D656" s="8"/>
      <c r="E656" s="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2">
        <v>655.0</v>
      </c>
      <c r="B657" s="34"/>
      <c r="C657" s="4"/>
      <c r="D657" s="8"/>
      <c r="E657" s="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2">
        <v>656.0</v>
      </c>
      <c r="B658" s="34"/>
      <c r="C658" s="4"/>
      <c r="D658" s="8"/>
      <c r="E658" s="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2">
        <v>657.0</v>
      </c>
      <c r="B659" s="34"/>
      <c r="C659" s="4"/>
      <c r="D659" s="8"/>
      <c r="E659" s="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2">
        <v>658.0</v>
      </c>
      <c r="B660" s="34"/>
      <c r="C660" s="4"/>
      <c r="D660" s="8"/>
      <c r="E660" s="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2">
        <v>659.0</v>
      </c>
      <c r="B661" s="34"/>
      <c r="C661" s="4"/>
      <c r="D661" s="8"/>
      <c r="E661" s="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2">
        <v>660.0</v>
      </c>
      <c r="B662" s="34"/>
      <c r="C662" s="4"/>
      <c r="D662" s="8"/>
      <c r="E662" s="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2">
        <v>661.0</v>
      </c>
      <c r="B663" s="34"/>
      <c r="C663" s="4"/>
      <c r="D663" s="8"/>
      <c r="E663" s="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2">
        <v>662.0</v>
      </c>
      <c r="B664" s="34"/>
      <c r="C664" s="4"/>
      <c r="D664" s="8"/>
      <c r="E664" s="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2">
        <v>663.0</v>
      </c>
      <c r="B665" s="34"/>
      <c r="C665" s="4"/>
      <c r="D665" s="8"/>
      <c r="E665" s="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2">
        <v>664.0</v>
      </c>
      <c r="B666" s="34"/>
      <c r="C666" s="4"/>
      <c r="D666" s="8"/>
      <c r="E666" s="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2">
        <v>665.0</v>
      </c>
      <c r="B667" s="34"/>
      <c r="C667" s="4"/>
      <c r="D667" s="8"/>
      <c r="E667" s="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2">
        <v>666.0</v>
      </c>
      <c r="B668" s="34"/>
      <c r="C668" s="4"/>
      <c r="D668" s="8"/>
      <c r="E668" s="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2">
        <v>667.0</v>
      </c>
      <c r="B669" s="34"/>
      <c r="C669" s="4"/>
      <c r="D669" s="8"/>
      <c r="E669" s="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2">
        <v>668.0</v>
      </c>
      <c r="B670" s="34"/>
      <c r="C670" s="4"/>
      <c r="D670" s="8"/>
      <c r="E670" s="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2">
        <v>669.0</v>
      </c>
      <c r="B671" s="34"/>
      <c r="C671" s="4"/>
      <c r="D671" s="8"/>
      <c r="E671" s="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2">
        <v>670.0</v>
      </c>
      <c r="B672" s="34"/>
      <c r="C672" s="4"/>
      <c r="D672" s="8"/>
      <c r="E672" s="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2">
        <v>671.0</v>
      </c>
      <c r="B673" s="34"/>
      <c r="C673" s="4"/>
      <c r="D673" s="8"/>
      <c r="E673" s="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2">
        <v>672.0</v>
      </c>
      <c r="B674" s="34"/>
      <c r="C674" s="4"/>
      <c r="D674" s="8"/>
      <c r="E674" s="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2">
        <v>673.0</v>
      </c>
      <c r="B675" s="34"/>
      <c r="C675" s="4"/>
      <c r="D675" s="8"/>
      <c r="E675" s="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2">
        <v>674.0</v>
      </c>
      <c r="B676" s="34"/>
      <c r="C676" s="4"/>
      <c r="D676" s="8"/>
      <c r="E676" s="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2">
        <v>675.0</v>
      </c>
      <c r="B677" s="34"/>
      <c r="C677" s="4"/>
      <c r="D677" s="8"/>
      <c r="E677" s="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2">
        <v>676.0</v>
      </c>
      <c r="B678" s="34"/>
      <c r="C678" s="4"/>
      <c r="D678" s="8"/>
      <c r="E678" s="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2">
        <v>677.0</v>
      </c>
      <c r="B679" s="34"/>
      <c r="C679" s="4"/>
      <c r="D679" s="8"/>
      <c r="E679" s="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2">
        <v>678.0</v>
      </c>
      <c r="B680" s="34"/>
      <c r="C680" s="4"/>
      <c r="D680" s="8"/>
      <c r="E680" s="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2">
        <v>679.0</v>
      </c>
      <c r="B681" s="34"/>
      <c r="C681" s="4"/>
      <c r="D681" s="8"/>
      <c r="E681" s="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2">
        <v>680.0</v>
      </c>
      <c r="B682" s="34"/>
      <c r="C682" s="4"/>
      <c r="D682" s="8"/>
      <c r="E682" s="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2">
        <v>681.0</v>
      </c>
      <c r="B683" s="34"/>
      <c r="C683" s="4"/>
      <c r="D683" s="8"/>
      <c r="E683" s="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2">
        <v>682.0</v>
      </c>
      <c r="B684" s="34"/>
      <c r="C684" s="4"/>
      <c r="D684" s="8"/>
      <c r="E684" s="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2">
        <v>683.0</v>
      </c>
      <c r="B685" s="34"/>
      <c r="C685" s="4"/>
      <c r="D685" s="8"/>
      <c r="E685" s="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2">
        <v>684.0</v>
      </c>
      <c r="B686" s="34"/>
      <c r="C686" s="4"/>
      <c r="D686" s="8"/>
      <c r="E686" s="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2">
        <v>685.0</v>
      </c>
      <c r="B687" s="34"/>
      <c r="C687" s="4"/>
      <c r="D687" s="8"/>
      <c r="E687" s="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2">
        <v>686.0</v>
      </c>
      <c r="B688" s="34"/>
      <c r="C688" s="4"/>
      <c r="D688" s="8"/>
      <c r="E688" s="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2">
        <v>687.0</v>
      </c>
      <c r="B689" s="34"/>
      <c r="C689" s="4"/>
      <c r="D689" s="8"/>
      <c r="E689" s="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2">
        <v>688.0</v>
      </c>
      <c r="B690" s="34"/>
      <c r="C690" s="4"/>
      <c r="D690" s="8"/>
      <c r="E690" s="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2">
        <v>689.0</v>
      </c>
      <c r="B691" s="34"/>
      <c r="C691" s="4"/>
      <c r="D691" s="8"/>
      <c r="E691" s="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2">
        <v>690.0</v>
      </c>
      <c r="B692" s="34"/>
      <c r="C692" s="4"/>
      <c r="D692" s="8"/>
      <c r="E692" s="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2">
        <v>691.0</v>
      </c>
      <c r="B693" s="34"/>
      <c r="C693" s="4"/>
      <c r="D693" s="8"/>
      <c r="E693" s="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2">
        <v>692.0</v>
      </c>
      <c r="B694" s="34"/>
      <c r="C694" s="4"/>
      <c r="D694" s="8"/>
      <c r="E694" s="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2">
        <v>693.0</v>
      </c>
      <c r="B695" s="34"/>
      <c r="C695" s="4"/>
      <c r="D695" s="8"/>
      <c r="E695" s="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2">
        <v>694.0</v>
      </c>
      <c r="B696" s="34"/>
      <c r="C696" s="4"/>
      <c r="D696" s="8"/>
      <c r="E696" s="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2">
        <v>695.0</v>
      </c>
      <c r="B697" s="34"/>
      <c r="C697" s="4"/>
      <c r="D697" s="8"/>
      <c r="E697" s="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2">
        <v>696.0</v>
      </c>
      <c r="B698" s="34"/>
      <c r="C698" s="4"/>
      <c r="D698" s="8"/>
      <c r="E698" s="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2">
        <v>697.0</v>
      </c>
      <c r="B699" s="34"/>
      <c r="C699" s="4"/>
      <c r="D699" s="8"/>
      <c r="E699" s="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2">
        <v>698.0</v>
      </c>
      <c r="B700" s="34"/>
      <c r="C700" s="4"/>
      <c r="D700" s="8"/>
      <c r="E700" s="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2">
        <v>699.0</v>
      </c>
      <c r="B701" s="34"/>
      <c r="C701" s="4"/>
      <c r="D701" s="8"/>
      <c r="E701" s="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2">
        <v>700.0</v>
      </c>
      <c r="B702" s="34"/>
      <c r="C702" s="4"/>
      <c r="D702" s="8"/>
      <c r="E702" s="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2">
        <v>701.0</v>
      </c>
      <c r="B703" s="34"/>
      <c r="C703" s="4"/>
      <c r="D703" s="8"/>
      <c r="E703" s="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2">
        <v>702.0</v>
      </c>
      <c r="B704" s="34"/>
      <c r="C704" s="4"/>
      <c r="D704" s="8"/>
      <c r="E704" s="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2">
        <v>703.0</v>
      </c>
      <c r="B705" s="34"/>
      <c r="C705" s="4"/>
      <c r="D705" s="8"/>
      <c r="E705" s="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2">
        <v>704.0</v>
      </c>
      <c r="B706" s="34"/>
      <c r="C706" s="4"/>
      <c r="D706" s="8"/>
      <c r="E706" s="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2">
        <v>705.0</v>
      </c>
      <c r="B707" s="34"/>
      <c r="C707" s="4"/>
      <c r="D707" s="8"/>
      <c r="E707" s="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2">
        <v>706.0</v>
      </c>
      <c r="B708" s="34"/>
      <c r="C708" s="4"/>
      <c r="D708" s="8"/>
      <c r="E708" s="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2">
        <v>707.0</v>
      </c>
      <c r="B709" s="34"/>
      <c r="C709" s="4"/>
      <c r="D709" s="8"/>
      <c r="E709" s="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2">
        <v>708.0</v>
      </c>
      <c r="B710" s="34"/>
      <c r="C710" s="4"/>
      <c r="D710" s="8"/>
      <c r="E710" s="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2">
        <v>709.0</v>
      </c>
      <c r="B711" s="34"/>
      <c r="C711" s="4"/>
      <c r="D711" s="8"/>
      <c r="E711" s="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2">
        <v>710.0</v>
      </c>
      <c r="B712" s="34"/>
      <c r="C712" s="4"/>
      <c r="D712" s="8"/>
      <c r="E712" s="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2">
        <v>711.0</v>
      </c>
      <c r="B713" s="34"/>
      <c r="C713" s="4"/>
      <c r="D713" s="8"/>
      <c r="E713" s="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2">
        <v>712.0</v>
      </c>
      <c r="B714" s="34"/>
      <c r="C714" s="4"/>
      <c r="D714" s="8"/>
      <c r="E714" s="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2">
        <v>713.0</v>
      </c>
      <c r="B715" s="34"/>
      <c r="C715" s="4"/>
      <c r="D715" s="8"/>
      <c r="E715" s="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2">
        <v>714.0</v>
      </c>
      <c r="B716" s="34"/>
      <c r="C716" s="4"/>
      <c r="D716" s="8"/>
      <c r="E716" s="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2">
        <v>715.0</v>
      </c>
      <c r="B717" s="34"/>
      <c r="C717" s="4"/>
      <c r="D717" s="8"/>
      <c r="E717" s="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2">
        <v>716.0</v>
      </c>
      <c r="B718" s="34"/>
      <c r="C718" s="4"/>
      <c r="D718" s="8"/>
      <c r="E718" s="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2">
        <v>717.0</v>
      </c>
      <c r="B719" s="34"/>
      <c r="C719" s="4"/>
      <c r="D719" s="8"/>
      <c r="E719" s="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2">
        <v>718.0</v>
      </c>
      <c r="B720" s="34"/>
      <c r="C720" s="4"/>
      <c r="D720" s="8"/>
      <c r="E720" s="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2">
        <v>719.0</v>
      </c>
      <c r="B721" s="34"/>
      <c r="C721" s="4"/>
      <c r="D721" s="8"/>
      <c r="E721" s="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2">
        <v>720.0</v>
      </c>
      <c r="B722" s="34"/>
      <c r="C722" s="4"/>
      <c r="D722" s="8"/>
      <c r="E722" s="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2">
        <v>721.0</v>
      </c>
      <c r="B723" s="34"/>
      <c r="C723" s="4"/>
      <c r="D723" s="8"/>
      <c r="E723" s="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2">
        <v>722.0</v>
      </c>
      <c r="B724" s="34"/>
      <c r="C724" s="4"/>
      <c r="D724" s="8"/>
      <c r="E724" s="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2">
        <v>723.0</v>
      </c>
      <c r="B725" s="34"/>
      <c r="C725" s="4"/>
      <c r="D725" s="8"/>
      <c r="E725" s="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2">
        <v>724.0</v>
      </c>
      <c r="B726" s="34"/>
      <c r="C726" s="4"/>
      <c r="D726" s="8"/>
      <c r="E726" s="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2">
        <v>725.0</v>
      </c>
      <c r="B727" s="34"/>
      <c r="C727" s="4"/>
      <c r="D727" s="8"/>
      <c r="E727" s="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2">
        <v>726.0</v>
      </c>
      <c r="B728" s="34"/>
      <c r="C728" s="4"/>
      <c r="D728" s="8"/>
      <c r="E728" s="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2">
        <v>727.0</v>
      </c>
      <c r="B729" s="34"/>
      <c r="C729" s="4"/>
      <c r="D729" s="8"/>
      <c r="E729" s="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2">
        <v>728.0</v>
      </c>
      <c r="B730" s="34"/>
      <c r="C730" s="4"/>
      <c r="D730" s="8"/>
      <c r="E730" s="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2">
        <v>729.0</v>
      </c>
      <c r="B731" s="34"/>
      <c r="C731" s="4"/>
      <c r="D731" s="8"/>
      <c r="E731" s="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2">
        <v>730.0</v>
      </c>
      <c r="B732" s="34"/>
      <c r="C732" s="4"/>
      <c r="D732" s="8"/>
      <c r="E732" s="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2">
        <v>731.0</v>
      </c>
      <c r="B733" s="34"/>
      <c r="C733" s="4"/>
      <c r="D733" s="8"/>
      <c r="E733" s="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2">
        <v>732.0</v>
      </c>
      <c r="B734" s="34"/>
      <c r="C734" s="4"/>
      <c r="D734" s="8"/>
      <c r="E734" s="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2">
        <v>733.0</v>
      </c>
      <c r="B735" s="34"/>
      <c r="C735" s="4"/>
      <c r="D735" s="8"/>
      <c r="E735" s="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2">
        <v>734.0</v>
      </c>
      <c r="B736" s="34"/>
      <c r="C736" s="4"/>
      <c r="D736" s="8"/>
      <c r="E736" s="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2">
        <v>735.0</v>
      </c>
      <c r="B737" s="34"/>
      <c r="C737" s="4"/>
      <c r="D737" s="8"/>
      <c r="E737" s="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2">
        <v>736.0</v>
      </c>
      <c r="B738" s="34"/>
      <c r="C738" s="4"/>
      <c r="D738" s="8"/>
      <c r="E738" s="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2">
        <v>737.0</v>
      </c>
      <c r="B739" s="34"/>
      <c r="C739" s="4"/>
      <c r="D739" s="8"/>
      <c r="E739" s="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2">
        <v>738.0</v>
      </c>
      <c r="B740" s="34"/>
      <c r="C740" s="4"/>
      <c r="D740" s="8"/>
      <c r="E740" s="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2">
        <v>739.0</v>
      </c>
      <c r="B741" s="34"/>
      <c r="C741" s="4"/>
      <c r="D741" s="8"/>
      <c r="E741" s="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2">
        <v>740.0</v>
      </c>
      <c r="B742" s="34"/>
      <c r="C742" s="4"/>
      <c r="D742" s="8"/>
      <c r="E742" s="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2">
        <v>741.0</v>
      </c>
      <c r="B743" s="34"/>
      <c r="C743" s="4"/>
      <c r="D743" s="8"/>
      <c r="E743" s="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2">
        <v>742.0</v>
      </c>
      <c r="B744" s="34"/>
      <c r="C744" s="4"/>
      <c r="D744" s="8"/>
      <c r="E744" s="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2">
        <v>743.0</v>
      </c>
      <c r="B745" s="34"/>
      <c r="C745" s="4"/>
      <c r="D745" s="8"/>
      <c r="E745" s="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2">
        <v>744.0</v>
      </c>
      <c r="B746" s="34"/>
      <c r="C746" s="4"/>
      <c r="D746" s="8"/>
      <c r="E746" s="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2">
        <v>745.0</v>
      </c>
      <c r="B747" s="34"/>
      <c r="C747" s="4"/>
      <c r="D747" s="8"/>
      <c r="E747" s="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2">
        <v>746.0</v>
      </c>
      <c r="B748" s="34"/>
      <c r="C748" s="4"/>
      <c r="D748" s="8"/>
      <c r="E748" s="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2">
        <v>747.0</v>
      </c>
      <c r="B749" s="34"/>
      <c r="C749" s="4"/>
      <c r="D749" s="8"/>
      <c r="E749" s="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2">
        <v>748.0</v>
      </c>
      <c r="B750" s="34"/>
      <c r="C750" s="4"/>
      <c r="D750" s="8"/>
      <c r="E750" s="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2">
        <v>749.0</v>
      </c>
      <c r="B751" s="34"/>
      <c r="C751" s="4"/>
      <c r="D751" s="8"/>
      <c r="E751" s="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2">
        <v>750.0</v>
      </c>
      <c r="B752" s="34"/>
      <c r="C752" s="4"/>
      <c r="D752" s="8"/>
      <c r="E752" s="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2">
        <v>751.0</v>
      </c>
      <c r="B753" s="34"/>
      <c r="C753" s="4"/>
      <c r="D753" s="8"/>
      <c r="E753" s="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2">
        <v>752.0</v>
      </c>
      <c r="B754" s="34"/>
      <c r="C754" s="4"/>
      <c r="D754" s="8"/>
      <c r="E754" s="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2">
        <v>753.0</v>
      </c>
      <c r="B755" s="34"/>
      <c r="C755" s="4"/>
      <c r="D755" s="8"/>
      <c r="E755" s="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2">
        <v>754.0</v>
      </c>
      <c r="B756" s="34"/>
      <c r="C756" s="4"/>
      <c r="D756" s="8"/>
      <c r="E756" s="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2">
        <v>755.0</v>
      </c>
      <c r="B757" s="34"/>
      <c r="C757" s="4"/>
      <c r="D757" s="8"/>
      <c r="E757" s="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2">
        <v>756.0</v>
      </c>
      <c r="B758" s="34"/>
      <c r="C758" s="4"/>
      <c r="D758" s="8"/>
      <c r="E758" s="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2">
        <v>757.0</v>
      </c>
      <c r="B759" s="34"/>
      <c r="C759" s="4"/>
      <c r="D759" s="8"/>
      <c r="E759" s="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2">
        <v>758.0</v>
      </c>
      <c r="B760" s="34"/>
      <c r="C760" s="4"/>
      <c r="D760" s="8"/>
      <c r="E760" s="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2">
        <v>759.0</v>
      </c>
      <c r="B761" s="34"/>
      <c r="C761" s="4"/>
      <c r="D761" s="8"/>
      <c r="E761" s="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2">
        <v>760.0</v>
      </c>
      <c r="B762" s="34"/>
      <c r="C762" s="4"/>
      <c r="D762" s="8"/>
      <c r="E762" s="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2">
        <v>761.0</v>
      </c>
      <c r="B763" s="34"/>
      <c r="C763" s="4"/>
      <c r="D763" s="8"/>
      <c r="E763" s="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2">
        <v>762.0</v>
      </c>
      <c r="B764" s="34"/>
      <c r="C764" s="4"/>
      <c r="D764" s="8"/>
      <c r="E764" s="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2">
        <v>763.0</v>
      </c>
      <c r="B765" s="34"/>
      <c r="C765" s="4"/>
      <c r="D765" s="8"/>
      <c r="E765" s="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2">
        <v>764.0</v>
      </c>
      <c r="B766" s="34"/>
      <c r="C766" s="4"/>
      <c r="D766" s="8"/>
      <c r="E766" s="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2">
        <v>765.0</v>
      </c>
      <c r="B767" s="34"/>
      <c r="C767" s="4"/>
      <c r="D767" s="8"/>
      <c r="E767" s="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2">
        <v>766.0</v>
      </c>
      <c r="B768" s="34"/>
      <c r="C768" s="4"/>
      <c r="D768" s="8"/>
      <c r="E768" s="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2">
        <v>767.0</v>
      </c>
      <c r="B769" s="34"/>
      <c r="C769" s="4"/>
      <c r="D769" s="8"/>
      <c r="E769" s="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2">
        <v>768.0</v>
      </c>
      <c r="B770" s="34"/>
      <c r="C770" s="4"/>
      <c r="D770" s="8"/>
      <c r="E770" s="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2">
        <v>769.0</v>
      </c>
      <c r="B771" s="34"/>
      <c r="C771" s="4"/>
      <c r="D771" s="8"/>
      <c r="E771" s="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2">
        <v>770.0</v>
      </c>
      <c r="B772" s="34"/>
      <c r="C772" s="4"/>
      <c r="D772" s="8"/>
      <c r="E772" s="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2">
        <v>771.0</v>
      </c>
      <c r="B773" s="34"/>
      <c r="C773" s="4"/>
      <c r="D773" s="8"/>
      <c r="E773" s="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2">
        <v>772.0</v>
      </c>
      <c r="B774" s="34"/>
      <c r="C774" s="4"/>
      <c r="D774" s="8"/>
      <c r="E774" s="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2">
        <v>773.0</v>
      </c>
      <c r="B775" s="34"/>
      <c r="C775" s="4"/>
      <c r="D775" s="8"/>
      <c r="E775" s="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2">
        <v>774.0</v>
      </c>
      <c r="B776" s="34"/>
      <c r="C776" s="4"/>
      <c r="D776" s="8"/>
      <c r="E776" s="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2">
        <v>775.0</v>
      </c>
      <c r="B777" s="34"/>
      <c r="C777" s="4"/>
      <c r="D777" s="8"/>
      <c r="E777" s="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2">
        <v>776.0</v>
      </c>
      <c r="B778" s="34"/>
      <c r="C778" s="4"/>
      <c r="D778" s="8"/>
      <c r="E778" s="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2">
        <v>777.0</v>
      </c>
      <c r="B779" s="34"/>
      <c r="C779" s="4"/>
      <c r="D779" s="8"/>
      <c r="E779" s="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2">
        <v>778.0</v>
      </c>
      <c r="B780" s="34"/>
      <c r="C780" s="4"/>
      <c r="D780" s="8"/>
      <c r="E780" s="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2">
        <v>779.0</v>
      </c>
      <c r="B781" s="34"/>
      <c r="C781" s="4"/>
      <c r="D781" s="8"/>
      <c r="E781" s="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2">
        <v>780.0</v>
      </c>
      <c r="B782" s="34"/>
      <c r="C782" s="4"/>
      <c r="D782" s="8"/>
      <c r="E782" s="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2">
        <v>781.0</v>
      </c>
      <c r="B783" s="34"/>
      <c r="C783" s="4"/>
      <c r="D783" s="8"/>
      <c r="E783" s="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2">
        <v>782.0</v>
      </c>
      <c r="B784" s="34"/>
      <c r="C784" s="4"/>
      <c r="D784" s="8"/>
      <c r="E784" s="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2">
        <v>783.0</v>
      </c>
      <c r="B785" s="34"/>
      <c r="C785" s="4"/>
      <c r="D785" s="8"/>
      <c r="E785" s="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2">
        <v>784.0</v>
      </c>
      <c r="B786" s="34"/>
      <c r="C786" s="4"/>
      <c r="D786" s="8"/>
      <c r="E786" s="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2">
        <v>785.0</v>
      </c>
      <c r="B787" s="34"/>
      <c r="C787" s="4"/>
      <c r="D787" s="8"/>
      <c r="E787" s="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2">
        <v>786.0</v>
      </c>
      <c r="B788" s="34"/>
      <c r="C788" s="4"/>
      <c r="D788" s="8"/>
      <c r="E788" s="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2">
        <v>787.0</v>
      </c>
      <c r="B789" s="34"/>
      <c r="C789" s="4"/>
      <c r="D789" s="8"/>
      <c r="E789" s="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2">
        <v>788.0</v>
      </c>
      <c r="B790" s="34"/>
      <c r="C790" s="4"/>
      <c r="D790" s="8"/>
      <c r="E790" s="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2">
        <v>789.0</v>
      </c>
      <c r="B791" s="34"/>
      <c r="C791" s="4"/>
      <c r="D791" s="8"/>
      <c r="E791" s="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2">
        <v>790.0</v>
      </c>
      <c r="B792" s="34"/>
      <c r="C792" s="4"/>
      <c r="D792" s="8"/>
      <c r="E792" s="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2">
        <v>791.0</v>
      </c>
      <c r="B793" s="34"/>
      <c r="C793" s="4"/>
      <c r="D793" s="8"/>
      <c r="E793" s="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2">
        <v>792.0</v>
      </c>
      <c r="B794" s="34"/>
      <c r="C794" s="4"/>
      <c r="D794" s="8"/>
      <c r="E794" s="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2">
        <v>793.0</v>
      </c>
      <c r="B795" s="34"/>
      <c r="C795" s="4"/>
      <c r="D795" s="8"/>
      <c r="E795" s="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2">
        <v>794.0</v>
      </c>
      <c r="B796" s="34"/>
      <c r="C796" s="4"/>
      <c r="D796" s="8"/>
      <c r="E796" s="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2">
        <v>795.0</v>
      </c>
      <c r="B797" s="34"/>
      <c r="C797" s="4"/>
      <c r="D797" s="8"/>
      <c r="E797" s="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2">
        <v>796.0</v>
      </c>
      <c r="B798" s="34"/>
      <c r="C798" s="4"/>
      <c r="D798" s="8"/>
      <c r="E798" s="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2">
        <v>797.0</v>
      </c>
      <c r="B799" s="34"/>
      <c r="C799" s="4"/>
      <c r="D799" s="8"/>
      <c r="E799" s="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2">
        <v>798.0</v>
      </c>
      <c r="B800" s="34"/>
      <c r="C800" s="4"/>
      <c r="D800" s="8"/>
      <c r="E800" s="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2">
        <v>799.0</v>
      </c>
      <c r="B801" s="34"/>
      <c r="C801" s="4"/>
      <c r="D801" s="8"/>
      <c r="E801" s="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2">
        <v>800.0</v>
      </c>
      <c r="B802" s="34"/>
      <c r="C802" s="4"/>
      <c r="D802" s="8"/>
      <c r="E802" s="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2">
        <v>801.0</v>
      </c>
      <c r="B803" s="34"/>
      <c r="C803" s="4"/>
      <c r="D803" s="8"/>
      <c r="E803" s="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2">
        <v>802.0</v>
      </c>
      <c r="B804" s="34"/>
      <c r="C804" s="4"/>
      <c r="D804" s="8"/>
      <c r="E804" s="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2">
        <v>803.0</v>
      </c>
      <c r="B805" s="34"/>
      <c r="C805" s="4"/>
      <c r="D805" s="8"/>
      <c r="E805" s="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2">
        <v>804.0</v>
      </c>
      <c r="B806" s="34"/>
      <c r="C806" s="4"/>
      <c r="D806" s="8"/>
      <c r="E806" s="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2">
        <v>805.0</v>
      </c>
      <c r="B807" s="34"/>
      <c r="C807" s="4"/>
      <c r="D807" s="8"/>
      <c r="E807" s="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2">
        <v>806.0</v>
      </c>
      <c r="B808" s="34"/>
      <c r="C808" s="4"/>
      <c r="D808" s="8"/>
      <c r="E808" s="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2">
        <v>807.0</v>
      </c>
      <c r="B809" s="34"/>
      <c r="C809" s="4"/>
      <c r="D809" s="8"/>
      <c r="E809" s="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2">
        <v>808.0</v>
      </c>
      <c r="B810" s="34"/>
      <c r="C810" s="4"/>
      <c r="D810" s="8"/>
      <c r="E810" s="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2">
        <v>809.0</v>
      </c>
      <c r="B811" s="34"/>
      <c r="C811" s="4"/>
      <c r="D811" s="8"/>
      <c r="E811" s="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2">
        <v>810.0</v>
      </c>
      <c r="B812" s="34"/>
      <c r="C812" s="4"/>
      <c r="D812" s="8"/>
      <c r="E812" s="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2">
        <v>811.0</v>
      </c>
      <c r="B813" s="34"/>
      <c r="C813" s="4"/>
      <c r="D813" s="8"/>
      <c r="E813" s="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2">
        <v>812.0</v>
      </c>
      <c r="B814" s="34"/>
      <c r="C814" s="4"/>
      <c r="D814" s="8"/>
      <c r="E814" s="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2">
        <v>813.0</v>
      </c>
      <c r="B815" s="34"/>
      <c r="C815" s="4"/>
      <c r="D815" s="8"/>
      <c r="E815" s="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2">
        <v>814.0</v>
      </c>
      <c r="B816" s="34"/>
      <c r="C816" s="4"/>
      <c r="D816" s="8"/>
      <c r="E816" s="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2">
        <v>815.0</v>
      </c>
      <c r="B817" s="34"/>
      <c r="C817" s="4"/>
      <c r="D817" s="8"/>
      <c r="E817" s="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2">
        <v>816.0</v>
      </c>
      <c r="B818" s="34"/>
      <c r="C818" s="4"/>
      <c r="D818" s="8"/>
      <c r="E818" s="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2">
        <v>817.0</v>
      </c>
      <c r="B819" s="34"/>
      <c r="C819" s="4"/>
      <c r="D819" s="8"/>
      <c r="E819" s="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2">
        <v>818.0</v>
      </c>
      <c r="B820" s="34"/>
      <c r="C820" s="4"/>
      <c r="D820" s="8"/>
      <c r="E820" s="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2">
        <v>819.0</v>
      </c>
      <c r="B821" s="34"/>
      <c r="C821" s="4"/>
      <c r="D821" s="8"/>
      <c r="E821" s="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2">
        <v>820.0</v>
      </c>
      <c r="B822" s="34"/>
      <c r="C822" s="4"/>
      <c r="D822" s="8"/>
      <c r="E822" s="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2">
        <v>821.0</v>
      </c>
      <c r="B823" s="34"/>
      <c r="C823" s="4"/>
      <c r="D823" s="8"/>
      <c r="E823" s="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2">
        <v>822.0</v>
      </c>
      <c r="B824" s="34"/>
      <c r="C824" s="4"/>
      <c r="D824" s="8"/>
      <c r="E824" s="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2">
        <v>823.0</v>
      </c>
      <c r="B825" s="34"/>
      <c r="C825" s="4"/>
      <c r="D825" s="8"/>
      <c r="E825" s="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2">
        <v>824.0</v>
      </c>
      <c r="B826" s="34"/>
      <c r="C826" s="4"/>
      <c r="D826" s="8"/>
      <c r="E826" s="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2">
        <v>825.0</v>
      </c>
      <c r="B827" s="34"/>
      <c r="C827" s="4"/>
      <c r="D827" s="8"/>
      <c r="E827" s="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2">
        <v>826.0</v>
      </c>
      <c r="B828" s="34"/>
      <c r="C828" s="4"/>
      <c r="D828" s="8"/>
      <c r="E828" s="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2">
        <v>827.0</v>
      </c>
      <c r="B829" s="34"/>
      <c r="C829" s="4"/>
      <c r="D829" s="8"/>
      <c r="E829" s="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2">
        <v>828.0</v>
      </c>
      <c r="B830" s="34"/>
      <c r="C830" s="4"/>
      <c r="D830" s="8"/>
      <c r="E830" s="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2">
        <v>829.0</v>
      </c>
      <c r="B831" s="34"/>
      <c r="C831" s="4"/>
      <c r="D831" s="8"/>
      <c r="E831" s="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2">
        <v>830.0</v>
      </c>
      <c r="B832" s="34"/>
      <c r="C832" s="4"/>
      <c r="D832" s="8"/>
      <c r="E832" s="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2">
        <v>831.0</v>
      </c>
      <c r="B833" s="34"/>
      <c r="C833" s="4"/>
      <c r="D833" s="8"/>
      <c r="E833" s="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2">
        <v>832.0</v>
      </c>
      <c r="B834" s="34"/>
      <c r="C834" s="4"/>
      <c r="D834" s="8"/>
      <c r="E834" s="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2">
        <v>833.0</v>
      </c>
      <c r="B835" s="34"/>
      <c r="C835" s="4"/>
      <c r="D835" s="8"/>
      <c r="E835" s="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2">
        <v>834.0</v>
      </c>
      <c r="B836" s="34"/>
      <c r="C836" s="4"/>
      <c r="D836" s="8"/>
      <c r="E836" s="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2">
        <v>835.0</v>
      </c>
      <c r="B837" s="34"/>
      <c r="C837" s="4"/>
      <c r="D837" s="8"/>
      <c r="E837" s="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2">
        <v>836.0</v>
      </c>
      <c r="B838" s="34"/>
      <c r="C838" s="4"/>
      <c r="D838" s="8"/>
      <c r="E838" s="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2">
        <v>837.0</v>
      </c>
      <c r="B839" s="34"/>
      <c r="C839" s="4"/>
      <c r="D839" s="8"/>
      <c r="E839" s="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2">
        <v>838.0</v>
      </c>
      <c r="B840" s="34"/>
      <c r="C840" s="4"/>
      <c r="D840" s="8"/>
      <c r="E840" s="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2">
        <v>839.0</v>
      </c>
      <c r="B841" s="34"/>
      <c r="C841" s="4"/>
      <c r="D841" s="8"/>
      <c r="E841" s="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2">
        <v>840.0</v>
      </c>
      <c r="B842" s="34"/>
      <c r="C842" s="4"/>
      <c r="D842" s="8"/>
      <c r="E842" s="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2">
        <v>841.0</v>
      </c>
      <c r="B843" s="34"/>
      <c r="C843" s="4"/>
      <c r="D843" s="8"/>
      <c r="E843" s="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2">
        <v>842.0</v>
      </c>
      <c r="B844" s="34"/>
      <c r="C844" s="4"/>
      <c r="D844" s="8"/>
      <c r="E844" s="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2">
        <v>843.0</v>
      </c>
      <c r="B845" s="34"/>
      <c r="C845" s="4"/>
      <c r="D845" s="8"/>
      <c r="E845" s="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2">
        <v>844.0</v>
      </c>
      <c r="B846" s="34"/>
      <c r="C846" s="4"/>
      <c r="D846" s="8"/>
      <c r="E846" s="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2">
        <v>845.0</v>
      </c>
      <c r="B847" s="34"/>
      <c r="C847" s="4"/>
      <c r="D847" s="8"/>
      <c r="E847" s="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2">
        <v>846.0</v>
      </c>
      <c r="B848" s="34"/>
      <c r="C848" s="4"/>
      <c r="D848" s="8"/>
      <c r="E848" s="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2">
        <v>847.0</v>
      </c>
      <c r="B849" s="34"/>
      <c r="C849" s="4"/>
      <c r="D849" s="8"/>
      <c r="E849" s="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2">
        <v>848.0</v>
      </c>
      <c r="B850" s="34"/>
      <c r="C850" s="4"/>
      <c r="D850" s="8"/>
      <c r="E850" s="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2">
        <v>849.0</v>
      </c>
      <c r="B851" s="34"/>
      <c r="C851" s="4"/>
      <c r="D851" s="8"/>
      <c r="E851" s="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2">
        <v>850.0</v>
      </c>
      <c r="B852" s="34"/>
      <c r="C852" s="4"/>
      <c r="D852" s="8"/>
      <c r="E852" s="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2">
        <v>851.0</v>
      </c>
      <c r="B853" s="34"/>
      <c r="C853" s="4"/>
      <c r="D853" s="8"/>
      <c r="E853" s="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2">
        <v>852.0</v>
      </c>
      <c r="B854" s="34"/>
      <c r="C854" s="4"/>
      <c r="D854" s="8"/>
      <c r="E854" s="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2">
        <v>853.0</v>
      </c>
      <c r="B855" s="34"/>
      <c r="C855" s="4"/>
      <c r="D855" s="8"/>
      <c r="E855" s="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2">
        <v>854.0</v>
      </c>
      <c r="B856" s="34"/>
      <c r="C856" s="4"/>
      <c r="D856" s="8"/>
      <c r="E856" s="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2">
        <v>855.0</v>
      </c>
      <c r="B857" s="34"/>
      <c r="C857" s="4"/>
      <c r="D857" s="8"/>
      <c r="E857" s="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2">
        <v>856.0</v>
      </c>
      <c r="B858" s="34"/>
      <c r="C858" s="4"/>
      <c r="D858" s="8"/>
      <c r="E858" s="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2">
        <v>857.0</v>
      </c>
      <c r="B859" s="34"/>
      <c r="C859" s="4"/>
      <c r="D859" s="8"/>
      <c r="E859" s="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2">
        <v>858.0</v>
      </c>
      <c r="B860" s="34"/>
      <c r="C860" s="4"/>
      <c r="D860" s="8"/>
      <c r="E860" s="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2">
        <v>859.0</v>
      </c>
      <c r="B861" s="34"/>
      <c r="C861" s="4"/>
      <c r="D861" s="8"/>
      <c r="E861" s="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2">
        <v>860.0</v>
      </c>
      <c r="B862" s="34"/>
      <c r="C862" s="4"/>
      <c r="D862" s="8"/>
      <c r="E862" s="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2">
        <v>861.0</v>
      </c>
      <c r="B863" s="34"/>
      <c r="C863" s="4"/>
      <c r="D863" s="8"/>
      <c r="E863" s="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2">
        <v>862.0</v>
      </c>
      <c r="B864" s="34"/>
      <c r="C864" s="4"/>
      <c r="D864" s="8"/>
      <c r="E864" s="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2">
        <v>863.0</v>
      </c>
      <c r="B865" s="34"/>
      <c r="C865" s="4"/>
      <c r="D865" s="8"/>
      <c r="E865" s="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2">
        <v>864.0</v>
      </c>
      <c r="B866" s="34"/>
      <c r="C866" s="4"/>
      <c r="D866" s="8"/>
      <c r="E866" s="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2">
        <v>865.0</v>
      </c>
      <c r="B867" s="34"/>
      <c r="C867" s="4"/>
      <c r="D867" s="8"/>
      <c r="E867" s="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2">
        <v>866.0</v>
      </c>
      <c r="B868" s="34"/>
      <c r="C868" s="4"/>
      <c r="D868" s="8"/>
      <c r="E868" s="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2">
        <v>867.0</v>
      </c>
      <c r="B869" s="34"/>
      <c r="C869" s="4"/>
      <c r="D869" s="8"/>
      <c r="E869" s="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2">
        <v>868.0</v>
      </c>
      <c r="B870" s="34"/>
      <c r="C870" s="4"/>
      <c r="D870" s="8"/>
      <c r="E870" s="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2">
        <v>869.0</v>
      </c>
      <c r="B871" s="34"/>
      <c r="C871" s="4"/>
      <c r="D871" s="8"/>
      <c r="E871" s="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2">
        <v>870.0</v>
      </c>
      <c r="B872" s="34"/>
      <c r="C872" s="4"/>
      <c r="D872" s="8"/>
      <c r="E872" s="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2">
        <v>871.0</v>
      </c>
      <c r="B873" s="34"/>
      <c r="C873" s="4"/>
      <c r="D873" s="8"/>
      <c r="E873" s="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2">
        <v>872.0</v>
      </c>
      <c r="B874" s="34"/>
      <c r="C874" s="4"/>
      <c r="D874" s="8"/>
      <c r="E874" s="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2">
        <v>873.0</v>
      </c>
      <c r="B875" s="34"/>
      <c r="C875" s="4"/>
      <c r="D875" s="8"/>
      <c r="E875" s="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2">
        <v>874.0</v>
      </c>
      <c r="B876" s="34"/>
      <c r="C876" s="4"/>
      <c r="D876" s="8"/>
      <c r="E876" s="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2">
        <v>875.0</v>
      </c>
      <c r="B877" s="34"/>
      <c r="C877" s="4"/>
      <c r="D877" s="8"/>
      <c r="E877" s="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2">
        <v>876.0</v>
      </c>
      <c r="B878" s="34"/>
      <c r="C878" s="4"/>
      <c r="D878" s="8"/>
      <c r="E878" s="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2">
        <v>877.0</v>
      </c>
      <c r="B879" s="34"/>
      <c r="C879" s="4"/>
      <c r="D879" s="8"/>
      <c r="E879" s="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2">
        <v>878.0</v>
      </c>
      <c r="B880" s="34"/>
      <c r="C880" s="4"/>
      <c r="D880" s="8"/>
      <c r="E880" s="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2">
        <v>879.0</v>
      </c>
      <c r="B881" s="34"/>
      <c r="C881" s="4"/>
      <c r="D881" s="8"/>
      <c r="E881" s="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2">
        <v>880.0</v>
      </c>
      <c r="B882" s="34"/>
      <c r="C882" s="4"/>
      <c r="D882" s="8"/>
      <c r="E882" s="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2">
        <v>881.0</v>
      </c>
      <c r="B883" s="34"/>
      <c r="C883" s="4"/>
      <c r="D883" s="8"/>
      <c r="E883" s="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2">
        <v>882.0</v>
      </c>
      <c r="B884" s="34"/>
      <c r="C884" s="4"/>
      <c r="D884" s="8"/>
      <c r="E884" s="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2">
        <v>883.0</v>
      </c>
      <c r="B885" s="34"/>
      <c r="C885" s="4"/>
      <c r="D885" s="8"/>
      <c r="E885" s="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2">
        <v>884.0</v>
      </c>
      <c r="B886" s="34"/>
      <c r="C886" s="4"/>
      <c r="D886" s="8"/>
      <c r="E886" s="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2">
        <v>885.0</v>
      </c>
      <c r="B887" s="34"/>
      <c r="C887" s="4"/>
      <c r="D887" s="8"/>
      <c r="E887" s="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2">
        <v>886.0</v>
      </c>
      <c r="B888" s="34"/>
      <c r="C888" s="4"/>
      <c r="D888" s="8"/>
      <c r="E888" s="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2">
        <v>887.0</v>
      </c>
      <c r="B889" s="34"/>
      <c r="C889" s="4"/>
      <c r="D889" s="8"/>
      <c r="E889" s="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2">
        <v>888.0</v>
      </c>
      <c r="B890" s="34"/>
      <c r="C890" s="4"/>
      <c r="D890" s="8"/>
      <c r="E890" s="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2">
        <v>889.0</v>
      </c>
      <c r="B891" s="34"/>
      <c r="C891" s="4"/>
      <c r="D891" s="8"/>
      <c r="E891" s="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2">
        <v>890.0</v>
      </c>
      <c r="B892" s="34"/>
      <c r="C892" s="4"/>
      <c r="D892" s="8"/>
      <c r="E892" s="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2">
        <v>891.0</v>
      </c>
      <c r="B893" s="34"/>
      <c r="C893" s="4"/>
      <c r="D893" s="8"/>
      <c r="E893" s="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2">
        <v>892.0</v>
      </c>
      <c r="B894" s="34"/>
      <c r="C894" s="4"/>
      <c r="D894" s="8"/>
      <c r="E894" s="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2">
        <v>893.0</v>
      </c>
      <c r="B895" s="34"/>
      <c r="C895" s="4"/>
      <c r="D895" s="8"/>
      <c r="E895" s="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2">
        <v>894.0</v>
      </c>
      <c r="B896" s="34"/>
      <c r="C896" s="4"/>
      <c r="D896" s="8"/>
      <c r="E896" s="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2">
        <v>895.0</v>
      </c>
      <c r="B897" s="34"/>
      <c r="C897" s="4"/>
      <c r="D897" s="8"/>
      <c r="E897" s="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2">
        <v>896.0</v>
      </c>
      <c r="B898" s="34"/>
      <c r="C898" s="4"/>
      <c r="D898" s="8"/>
      <c r="E898" s="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2">
        <v>897.0</v>
      </c>
      <c r="B899" s="34"/>
      <c r="C899" s="4"/>
      <c r="D899" s="8"/>
      <c r="E899" s="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2">
        <v>898.0</v>
      </c>
      <c r="B900" s="34"/>
      <c r="C900" s="4"/>
      <c r="D900" s="8"/>
      <c r="E900" s="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2">
        <v>899.0</v>
      </c>
      <c r="B901" s="34"/>
      <c r="C901" s="4"/>
      <c r="D901" s="8"/>
      <c r="E901" s="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2">
        <v>900.0</v>
      </c>
      <c r="B902" s="34"/>
      <c r="C902" s="4"/>
      <c r="D902" s="8"/>
      <c r="E902" s="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2">
        <v>901.0</v>
      </c>
      <c r="B903" s="34"/>
      <c r="C903" s="4"/>
      <c r="D903" s="8"/>
      <c r="E903" s="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2">
        <v>902.0</v>
      </c>
      <c r="B904" s="34"/>
      <c r="C904" s="4"/>
      <c r="D904" s="8"/>
      <c r="E904" s="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2">
        <v>903.0</v>
      </c>
      <c r="B905" s="34"/>
      <c r="C905" s="4"/>
      <c r="D905" s="8"/>
      <c r="E905" s="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2">
        <v>904.0</v>
      </c>
      <c r="B906" s="34"/>
      <c r="C906" s="4"/>
      <c r="D906" s="8"/>
      <c r="E906" s="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2">
        <v>905.0</v>
      </c>
      <c r="B907" s="34"/>
      <c r="C907" s="4"/>
      <c r="D907" s="8"/>
      <c r="E907" s="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2">
        <v>906.0</v>
      </c>
      <c r="B908" s="34"/>
      <c r="C908" s="4"/>
      <c r="D908" s="8"/>
      <c r="E908" s="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2">
        <v>907.0</v>
      </c>
      <c r="B909" s="34"/>
      <c r="C909" s="4"/>
      <c r="D909" s="8"/>
      <c r="E909" s="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2">
        <v>908.0</v>
      </c>
      <c r="B910" s="34"/>
      <c r="C910" s="4"/>
      <c r="D910" s="8"/>
      <c r="E910" s="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2">
        <v>909.0</v>
      </c>
      <c r="B911" s="34"/>
      <c r="C911" s="4"/>
      <c r="D911" s="8"/>
      <c r="E911" s="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2">
        <v>910.0</v>
      </c>
      <c r="B912" s="34"/>
      <c r="C912" s="4"/>
      <c r="D912" s="8"/>
      <c r="E912" s="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2">
        <v>911.0</v>
      </c>
      <c r="B913" s="34"/>
      <c r="C913" s="4"/>
      <c r="D913" s="8"/>
      <c r="E913" s="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2">
        <v>912.0</v>
      </c>
      <c r="B914" s="34"/>
      <c r="C914" s="4"/>
      <c r="D914" s="8"/>
      <c r="E914" s="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2">
        <v>913.0</v>
      </c>
      <c r="B915" s="34"/>
      <c r="C915" s="4"/>
      <c r="D915" s="8"/>
      <c r="E915" s="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2">
        <v>914.0</v>
      </c>
      <c r="B916" s="34"/>
      <c r="C916" s="4"/>
      <c r="D916" s="8"/>
      <c r="E916" s="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2">
        <v>915.0</v>
      </c>
      <c r="B917" s="34"/>
      <c r="C917" s="4"/>
      <c r="D917" s="8"/>
      <c r="E917" s="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2">
        <v>916.0</v>
      </c>
      <c r="B918" s="34"/>
      <c r="C918" s="4"/>
      <c r="D918" s="8"/>
      <c r="E918" s="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2">
        <v>917.0</v>
      </c>
      <c r="B919" s="34"/>
      <c r="C919" s="4"/>
      <c r="D919" s="8"/>
      <c r="E919" s="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2">
        <v>918.0</v>
      </c>
      <c r="B920" s="34"/>
      <c r="C920" s="4"/>
      <c r="D920" s="8"/>
      <c r="E920" s="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2">
        <v>919.0</v>
      </c>
      <c r="B921" s="34"/>
      <c r="C921" s="4"/>
      <c r="D921" s="8"/>
      <c r="E921" s="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2">
        <v>920.0</v>
      </c>
      <c r="B922" s="34"/>
      <c r="C922" s="4"/>
      <c r="D922" s="8"/>
      <c r="E922" s="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2">
        <v>921.0</v>
      </c>
      <c r="B923" s="34"/>
      <c r="C923" s="4"/>
      <c r="D923" s="8"/>
      <c r="E923" s="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2">
        <v>922.0</v>
      </c>
      <c r="B924" s="34"/>
      <c r="C924" s="4"/>
      <c r="D924" s="8"/>
      <c r="E924" s="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2">
        <v>923.0</v>
      </c>
      <c r="B925" s="34"/>
      <c r="C925" s="4"/>
      <c r="D925" s="8"/>
      <c r="E925" s="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2">
        <v>924.0</v>
      </c>
      <c r="B926" s="34"/>
      <c r="C926" s="4"/>
      <c r="D926" s="8"/>
      <c r="E926" s="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2">
        <v>925.0</v>
      </c>
      <c r="B927" s="34"/>
      <c r="C927" s="4"/>
      <c r="D927" s="8"/>
      <c r="E927" s="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2">
        <v>926.0</v>
      </c>
      <c r="B928" s="34"/>
      <c r="C928" s="4"/>
      <c r="D928" s="8"/>
      <c r="E928" s="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2">
        <v>927.0</v>
      </c>
      <c r="B929" s="34"/>
      <c r="C929" s="4"/>
      <c r="D929" s="8"/>
      <c r="E929" s="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2">
        <v>928.0</v>
      </c>
      <c r="B930" s="34"/>
      <c r="C930" s="4"/>
      <c r="D930" s="8"/>
      <c r="E930" s="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2">
        <v>929.0</v>
      </c>
      <c r="B931" s="34"/>
      <c r="C931" s="4"/>
      <c r="D931" s="8"/>
      <c r="E931" s="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2">
        <v>930.0</v>
      </c>
      <c r="B932" s="34"/>
      <c r="C932" s="4"/>
      <c r="D932" s="8"/>
      <c r="E932" s="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2">
        <v>931.0</v>
      </c>
      <c r="B933" s="34"/>
      <c r="C933" s="4"/>
      <c r="D933" s="8"/>
      <c r="E933" s="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2">
        <v>932.0</v>
      </c>
      <c r="B934" s="34"/>
      <c r="C934" s="4"/>
      <c r="D934" s="8"/>
      <c r="E934" s="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2">
        <v>933.0</v>
      </c>
      <c r="B935" s="34"/>
      <c r="C935" s="4"/>
      <c r="D935" s="8"/>
      <c r="E935" s="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2">
        <v>934.0</v>
      </c>
      <c r="B936" s="34"/>
      <c r="C936" s="4"/>
      <c r="D936" s="8"/>
      <c r="E936" s="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2">
        <v>935.0</v>
      </c>
      <c r="B937" s="34"/>
      <c r="C937" s="4"/>
      <c r="D937" s="8"/>
      <c r="E937" s="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2">
        <v>936.0</v>
      </c>
      <c r="B938" s="34"/>
      <c r="C938" s="4"/>
      <c r="D938" s="8"/>
      <c r="E938" s="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2">
        <v>937.0</v>
      </c>
      <c r="B939" s="34"/>
      <c r="C939" s="4"/>
      <c r="D939" s="8"/>
      <c r="E939" s="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2">
        <v>938.0</v>
      </c>
      <c r="B940" s="34"/>
      <c r="C940" s="4"/>
      <c r="D940" s="8"/>
      <c r="E940" s="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2">
        <v>939.0</v>
      </c>
      <c r="B941" s="34"/>
      <c r="C941" s="4"/>
      <c r="D941" s="8"/>
      <c r="E941" s="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2">
        <v>940.0</v>
      </c>
      <c r="B942" s="34"/>
      <c r="C942" s="4"/>
      <c r="D942" s="8"/>
      <c r="E942" s="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2">
        <v>941.0</v>
      </c>
      <c r="B943" s="34"/>
      <c r="C943" s="4"/>
      <c r="D943" s="8"/>
      <c r="E943" s="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2">
        <v>942.0</v>
      </c>
      <c r="B944" s="34"/>
      <c r="C944" s="4"/>
      <c r="D944" s="8"/>
      <c r="E944" s="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2">
        <v>943.0</v>
      </c>
      <c r="B945" s="34"/>
      <c r="C945" s="4"/>
      <c r="D945" s="8"/>
      <c r="E945" s="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2">
        <v>944.0</v>
      </c>
      <c r="B946" s="34"/>
      <c r="C946" s="4"/>
      <c r="D946" s="8"/>
      <c r="E946" s="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2">
        <v>945.0</v>
      </c>
      <c r="B947" s="34"/>
      <c r="C947" s="4"/>
      <c r="D947" s="8"/>
      <c r="E947" s="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2">
        <v>946.0</v>
      </c>
      <c r="B948" s="34"/>
      <c r="C948" s="4"/>
      <c r="D948" s="8"/>
      <c r="E948" s="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2">
        <v>947.0</v>
      </c>
      <c r="B949" s="34"/>
      <c r="C949" s="4"/>
      <c r="D949" s="8"/>
      <c r="E949" s="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2">
        <v>948.0</v>
      </c>
      <c r="B950" s="34"/>
      <c r="C950" s="4"/>
      <c r="D950" s="8"/>
      <c r="E950" s="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2">
        <v>949.0</v>
      </c>
      <c r="B951" s="34"/>
      <c r="C951" s="4"/>
      <c r="D951" s="8"/>
      <c r="E951" s="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2">
        <v>950.0</v>
      </c>
      <c r="B952" s="34"/>
      <c r="C952" s="4"/>
      <c r="D952" s="8"/>
      <c r="E952" s="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2">
        <v>951.0</v>
      </c>
      <c r="B953" s="34"/>
      <c r="C953" s="4"/>
      <c r="D953" s="8"/>
      <c r="E953" s="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2">
        <v>952.0</v>
      </c>
      <c r="B954" s="34"/>
      <c r="C954" s="4"/>
      <c r="D954" s="8"/>
      <c r="E954" s="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2">
        <v>953.0</v>
      </c>
      <c r="B955" s="34"/>
      <c r="C955" s="4"/>
      <c r="D955" s="8"/>
      <c r="E955" s="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2">
        <v>954.0</v>
      </c>
      <c r="B956" s="34"/>
      <c r="C956" s="4"/>
      <c r="D956" s="8"/>
      <c r="E956" s="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2">
        <v>955.0</v>
      </c>
      <c r="B957" s="34"/>
      <c r="C957" s="4"/>
      <c r="D957" s="8"/>
      <c r="E957" s="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2">
        <v>956.0</v>
      </c>
      <c r="B958" s="34"/>
      <c r="C958" s="4"/>
      <c r="D958" s="8"/>
      <c r="E958" s="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2">
        <v>957.0</v>
      </c>
      <c r="B959" s="34"/>
      <c r="C959" s="4"/>
      <c r="D959" s="8"/>
      <c r="E959" s="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2">
        <v>958.0</v>
      </c>
      <c r="B960" s="34"/>
      <c r="C960" s="4"/>
      <c r="D960" s="8"/>
      <c r="E960" s="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2">
        <v>959.0</v>
      </c>
      <c r="B961" s="34"/>
      <c r="C961" s="4"/>
      <c r="D961" s="8"/>
      <c r="E961" s="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2">
        <v>960.0</v>
      </c>
      <c r="B962" s="34"/>
      <c r="C962" s="4"/>
      <c r="D962" s="8"/>
      <c r="E962" s="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2">
        <v>961.0</v>
      </c>
      <c r="B963" s="34"/>
      <c r="C963" s="4"/>
      <c r="D963" s="8"/>
      <c r="E963" s="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2">
        <v>962.0</v>
      </c>
      <c r="B964" s="34"/>
      <c r="C964" s="4"/>
      <c r="D964" s="8"/>
      <c r="E964" s="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2">
        <v>963.0</v>
      </c>
      <c r="B965" s="34"/>
      <c r="C965" s="4"/>
      <c r="D965" s="8"/>
      <c r="E965" s="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2">
        <v>964.0</v>
      </c>
      <c r="B966" s="34"/>
      <c r="C966" s="4"/>
      <c r="D966" s="8"/>
      <c r="E966" s="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2">
        <v>965.0</v>
      </c>
      <c r="B967" s="34"/>
      <c r="C967" s="4"/>
      <c r="D967" s="8"/>
      <c r="E967" s="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2">
        <v>966.0</v>
      </c>
      <c r="B968" s="34"/>
      <c r="C968" s="4"/>
      <c r="D968" s="8"/>
      <c r="E968" s="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2">
        <v>967.0</v>
      </c>
      <c r="B969" s="34"/>
      <c r="C969" s="4"/>
      <c r="D969" s="8"/>
      <c r="E969" s="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2">
        <v>968.0</v>
      </c>
      <c r="B970" s="34"/>
      <c r="C970" s="4"/>
      <c r="D970" s="8"/>
      <c r="E970" s="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2">
        <v>969.0</v>
      </c>
      <c r="B971" s="34"/>
      <c r="C971" s="4"/>
      <c r="D971" s="8"/>
      <c r="E971" s="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2">
        <v>970.0</v>
      </c>
      <c r="B972" s="34"/>
      <c r="C972" s="4"/>
      <c r="D972" s="8"/>
      <c r="E972" s="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2">
        <v>971.0</v>
      </c>
      <c r="B973" s="34"/>
      <c r="C973" s="4"/>
      <c r="D973" s="8"/>
      <c r="E973" s="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2">
        <v>972.0</v>
      </c>
      <c r="B974" s="34"/>
      <c r="C974" s="4"/>
      <c r="D974" s="8"/>
      <c r="E974" s="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2">
        <v>973.0</v>
      </c>
      <c r="B975" s="34"/>
      <c r="C975" s="4"/>
      <c r="D975" s="8"/>
      <c r="E975" s="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2">
        <v>974.0</v>
      </c>
      <c r="B976" s="34"/>
      <c r="C976" s="4"/>
      <c r="D976" s="8"/>
      <c r="E976" s="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2">
        <v>975.0</v>
      </c>
      <c r="B977" s="34"/>
      <c r="C977" s="4"/>
      <c r="D977" s="8"/>
      <c r="E977" s="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2">
        <v>976.0</v>
      </c>
      <c r="B978" s="34"/>
      <c r="C978" s="4"/>
      <c r="D978" s="8"/>
      <c r="E978" s="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2">
        <v>977.0</v>
      </c>
      <c r="B979" s="34"/>
      <c r="C979" s="4"/>
      <c r="D979" s="8"/>
      <c r="E979" s="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2">
        <v>978.0</v>
      </c>
      <c r="B980" s="34"/>
      <c r="C980" s="4"/>
      <c r="D980" s="8"/>
      <c r="E980" s="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2">
        <v>979.0</v>
      </c>
      <c r="B981" s="34"/>
      <c r="C981" s="4"/>
      <c r="D981" s="8"/>
      <c r="E981" s="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2">
        <v>980.0</v>
      </c>
      <c r="B982" s="34"/>
      <c r="C982" s="4"/>
      <c r="D982" s="8"/>
      <c r="E982" s="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2">
        <v>981.0</v>
      </c>
      <c r="B983" s="34"/>
      <c r="C983" s="4"/>
      <c r="D983" s="8"/>
      <c r="E983" s="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2">
        <v>982.0</v>
      </c>
      <c r="B984" s="34"/>
      <c r="C984" s="4"/>
      <c r="D984" s="8"/>
      <c r="E984" s="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2">
        <v>983.0</v>
      </c>
      <c r="B985" s="34"/>
      <c r="C985" s="4"/>
      <c r="D985" s="8"/>
      <c r="E985" s="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2">
        <v>984.0</v>
      </c>
      <c r="B986" s="34"/>
      <c r="C986" s="4"/>
      <c r="D986" s="8"/>
      <c r="E986" s="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2">
        <v>985.0</v>
      </c>
      <c r="B987" s="34"/>
      <c r="C987" s="4"/>
      <c r="D987" s="8"/>
      <c r="E987" s="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2">
        <v>986.0</v>
      </c>
      <c r="B988" s="34"/>
      <c r="C988" s="4"/>
      <c r="D988" s="8"/>
      <c r="E988" s="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2">
        <v>987.0</v>
      </c>
      <c r="B989" s="34"/>
      <c r="C989" s="4"/>
      <c r="D989" s="8"/>
      <c r="E989" s="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2">
        <v>988.0</v>
      </c>
      <c r="B990" s="34"/>
      <c r="C990" s="4"/>
      <c r="D990" s="8"/>
      <c r="E990" s="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2">
        <v>989.0</v>
      </c>
      <c r="B991" s="34"/>
      <c r="C991" s="4"/>
      <c r="D991" s="8"/>
      <c r="E991" s="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2">
        <v>990.0</v>
      </c>
      <c r="B992" s="34"/>
      <c r="C992" s="4"/>
      <c r="D992" s="8"/>
      <c r="E992" s="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2">
        <v>991.0</v>
      </c>
      <c r="B993" s="34"/>
      <c r="C993" s="4"/>
      <c r="D993" s="8"/>
      <c r="E993" s="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2">
        <v>992.0</v>
      </c>
      <c r="B994" s="34"/>
      <c r="C994" s="4"/>
      <c r="D994" s="8"/>
      <c r="E994" s="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2">
        <v>993.0</v>
      </c>
      <c r="B995" s="34"/>
      <c r="C995" s="4"/>
      <c r="D995" s="8"/>
      <c r="E995" s="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2">
        <v>994.0</v>
      </c>
      <c r="B996" s="34"/>
      <c r="C996" s="4"/>
      <c r="D996" s="8"/>
      <c r="E996" s="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2">
        <v>995.0</v>
      </c>
      <c r="B997" s="34"/>
      <c r="C997" s="4"/>
      <c r="D997" s="8"/>
      <c r="E997" s="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2">
        <v>996.0</v>
      </c>
      <c r="B998" s="34"/>
      <c r="C998" s="4"/>
      <c r="D998" s="8"/>
      <c r="E998" s="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2">
        <v>997.0</v>
      </c>
      <c r="B999" s="34"/>
      <c r="C999" s="4"/>
      <c r="D999" s="8"/>
      <c r="E999" s="8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32">
        <v>998.0</v>
      </c>
      <c r="B1000" s="34"/>
      <c r="C1000" s="4"/>
      <c r="D1000" s="8"/>
      <c r="E1000" s="8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0" customHeight="1">
      <c r="A1001" s="32">
        <v>999.0</v>
      </c>
      <c r="B1001" s="4"/>
      <c r="C1001" s="4"/>
      <c r="D1001" s="8"/>
      <c r="E1001" s="8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0" customHeight="1">
      <c r="A1002" s="32">
        <v>1000.0</v>
      </c>
      <c r="B1002" s="4"/>
      <c r="C1002" s="4"/>
      <c r="D1002" s="8"/>
      <c r="E1002" s="8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0" customHeight="1">
      <c r="A1003" s="32">
        <v>1001.0</v>
      </c>
      <c r="B1003" s="4"/>
      <c r="C1003" s="4"/>
      <c r="D1003" s="8"/>
      <c r="E1003" s="8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0" customHeight="1">
      <c r="A1004" s="32">
        <v>1002.0</v>
      </c>
      <c r="B1004" s="4"/>
      <c r="C1004" s="4"/>
      <c r="D1004" s="8"/>
      <c r="E1004" s="8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0" customHeight="1">
      <c r="A1005" s="32">
        <v>1003.0</v>
      </c>
      <c r="B1005" s="4"/>
      <c r="C1005" s="4"/>
      <c r="D1005" s="8"/>
      <c r="E1005" s="8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0" customHeight="1">
      <c r="A1006" s="32">
        <v>1004.0</v>
      </c>
      <c r="B1006" s="4"/>
      <c r="C1006" s="4"/>
      <c r="D1006" s="8"/>
      <c r="E1006" s="8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0" customHeight="1">
      <c r="A1007" s="32">
        <v>1005.0</v>
      </c>
      <c r="B1007" s="4"/>
      <c r="C1007" s="4"/>
      <c r="D1007" s="8"/>
      <c r="E1007" s="8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0" customHeight="1">
      <c r="A1008" s="32">
        <v>1006.0</v>
      </c>
      <c r="B1008" s="4"/>
      <c r="C1008" s="4"/>
      <c r="D1008" s="8"/>
      <c r="E1008" s="8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0" customHeight="1">
      <c r="A1009" s="32">
        <v>1007.0</v>
      </c>
      <c r="B1009" s="4"/>
      <c r="C1009" s="4"/>
      <c r="D1009" s="8"/>
      <c r="E1009" s="8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0" customHeight="1">
      <c r="A1010" s="32">
        <v>1008.0</v>
      </c>
      <c r="B1010" s="4"/>
      <c r="C1010" s="4"/>
      <c r="D1010" s="8"/>
      <c r="E1010" s="8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0" customHeight="1">
      <c r="A1011" s="32">
        <v>1009.0</v>
      </c>
      <c r="B1011" s="4"/>
      <c r="C1011" s="4"/>
      <c r="D1011" s="8"/>
      <c r="E1011" s="8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0" customHeight="1">
      <c r="A1012" s="32">
        <v>1010.0</v>
      </c>
      <c r="B1012" s="4"/>
      <c r="C1012" s="4"/>
      <c r="D1012" s="8"/>
      <c r="E1012" s="8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0" customHeight="1">
      <c r="A1013" s="32">
        <v>1011.0</v>
      </c>
      <c r="B1013" s="4"/>
      <c r="C1013" s="4"/>
      <c r="D1013" s="8"/>
      <c r="E1013" s="8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0" customHeight="1">
      <c r="A1014" s="32">
        <v>1012.0</v>
      </c>
      <c r="B1014" s="4"/>
      <c r="C1014" s="4"/>
      <c r="D1014" s="8"/>
      <c r="E1014" s="8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0" customHeight="1">
      <c r="A1015" s="32">
        <v>1013.0</v>
      </c>
      <c r="B1015" s="4"/>
      <c r="C1015" s="4"/>
      <c r="D1015" s="8"/>
      <c r="E1015" s="8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0" customHeight="1">
      <c r="A1016" s="32">
        <v>1014.0</v>
      </c>
      <c r="B1016" s="4"/>
      <c r="C1016" s="4"/>
      <c r="D1016" s="8"/>
      <c r="E1016" s="8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0" customHeight="1">
      <c r="A1017" s="32">
        <v>1015.0</v>
      </c>
      <c r="B1017" s="4"/>
      <c r="C1017" s="4"/>
      <c r="D1017" s="8"/>
      <c r="E1017" s="8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0" customHeight="1">
      <c r="A1018" s="32">
        <v>1016.0</v>
      </c>
      <c r="B1018" s="4"/>
      <c r="C1018" s="4"/>
      <c r="D1018" s="8"/>
      <c r="E1018" s="8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0" customHeight="1">
      <c r="A1019" s="32">
        <v>1017.0</v>
      </c>
      <c r="B1019" s="4"/>
      <c r="C1019" s="4"/>
      <c r="D1019" s="8"/>
      <c r="E1019" s="8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0" customHeight="1">
      <c r="A1020" s="32">
        <v>1018.0</v>
      </c>
      <c r="B1020" s="4"/>
      <c r="C1020" s="4"/>
      <c r="D1020" s="8"/>
      <c r="E1020" s="8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0" customHeight="1">
      <c r="A1021" s="32">
        <v>1019.0</v>
      </c>
      <c r="B1021" s="4"/>
      <c r="C1021" s="4"/>
      <c r="D1021" s="8"/>
      <c r="E1021" s="8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0" customHeight="1">
      <c r="A1022" s="32">
        <v>1020.0</v>
      </c>
      <c r="B1022" s="4"/>
      <c r="C1022" s="4"/>
      <c r="D1022" s="8"/>
      <c r="E1022" s="8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0" customHeight="1">
      <c r="A1023" s="32">
        <v>1021.0</v>
      </c>
      <c r="B1023" s="4"/>
      <c r="C1023" s="4"/>
      <c r="D1023" s="8"/>
      <c r="E1023" s="8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0" customHeight="1">
      <c r="A1024" s="32">
        <v>1022.0</v>
      </c>
      <c r="B1024" s="4"/>
      <c r="C1024" s="4"/>
      <c r="D1024" s="8"/>
      <c r="E1024" s="8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0" customHeight="1">
      <c r="A1025" s="32">
        <v>1023.0</v>
      </c>
      <c r="B1025" s="4"/>
      <c r="C1025" s="4"/>
      <c r="D1025" s="8"/>
      <c r="E1025" s="8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0" customHeight="1">
      <c r="A1026" s="32">
        <v>1024.0</v>
      </c>
      <c r="B1026" s="4"/>
      <c r="C1026" s="4"/>
      <c r="D1026" s="8"/>
      <c r="E1026" s="8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0" customHeight="1">
      <c r="A1027" s="32">
        <v>1025.0</v>
      </c>
      <c r="B1027" s="4"/>
      <c r="C1027" s="4"/>
      <c r="D1027" s="8"/>
      <c r="E1027" s="8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0" customHeight="1">
      <c r="A1028" s="32">
        <v>1026.0</v>
      </c>
      <c r="B1028" s="4"/>
      <c r="C1028" s="4"/>
      <c r="D1028" s="8"/>
      <c r="E1028" s="8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0" customHeight="1">
      <c r="A1029" s="32">
        <v>1027.0</v>
      </c>
      <c r="B1029" s="4"/>
      <c r="C1029" s="4"/>
      <c r="D1029" s="8"/>
      <c r="E1029" s="8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0" customHeight="1">
      <c r="A1030" s="32">
        <v>1028.0</v>
      </c>
      <c r="B1030" s="4"/>
      <c r="C1030" s="4"/>
      <c r="D1030" s="8"/>
      <c r="E1030" s="8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0" customHeight="1">
      <c r="A1031" s="32">
        <v>1029.0</v>
      </c>
      <c r="B1031" s="4"/>
      <c r="C1031" s="4"/>
      <c r="D1031" s="8"/>
      <c r="E1031" s="8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0" customHeight="1">
      <c r="A1032" s="32">
        <v>1030.0</v>
      </c>
      <c r="B1032" s="4"/>
      <c r="C1032" s="4"/>
      <c r="D1032" s="8"/>
      <c r="E1032" s="8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0" customHeight="1">
      <c r="A1033" s="32">
        <v>1031.0</v>
      </c>
      <c r="B1033" s="4"/>
      <c r="C1033" s="4"/>
      <c r="D1033" s="8"/>
      <c r="E1033" s="8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0" customHeight="1">
      <c r="A1034" s="32">
        <v>1032.0</v>
      </c>
      <c r="B1034" s="4"/>
      <c r="C1034" s="4"/>
      <c r="D1034" s="8"/>
      <c r="E1034" s="8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0" customHeight="1">
      <c r="A1035" s="32">
        <v>1033.0</v>
      </c>
      <c r="B1035" s="4"/>
      <c r="C1035" s="4"/>
      <c r="D1035" s="8"/>
      <c r="E1035" s="8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0" customHeight="1">
      <c r="A1036" s="32">
        <v>1034.0</v>
      </c>
      <c r="B1036" s="4"/>
      <c r="C1036" s="4"/>
      <c r="D1036" s="8"/>
      <c r="E1036" s="8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0" customHeight="1">
      <c r="A1037" s="32">
        <v>1035.0</v>
      </c>
      <c r="B1037" s="4"/>
      <c r="C1037" s="4"/>
      <c r="D1037" s="8"/>
      <c r="E1037" s="8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0" customHeight="1">
      <c r="A1038" s="32">
        <v>1036.0</v>
      </c>
      <c r="B1038" s="4"/>
      <c r="C1038" s="4"/>
      <c r="D1038" s="8"/>
      <c r="E1038" s="8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0" customHeight="1">
      <c r="A1039" s="32">
        <v>1037.0</v>
      </c>
      <c r="B1039" s="4"/>
      <c r="C1039" s="4"/>
      <c r="D1039" s="8"/>
      <c r="E1039" s="8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0" customHeight="1">
      <c r="A1040" s="32">
        <v>1038.0</v>
      </c>
      <c r="B1040" s="4"/>
      <c r="C1040" s="4"/>
      <c r="D1040" s="8"/>
      <c r="E1040" s="8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0" customHeight="1">
      <c r="A1041" s="32">
        <v>1039.0</v>
      </c>
      <c r="B1041" s="4"/>
      <c r="C1041" s="4"/>
      <c r="D1041" s="8"/>
      <c r="E1041" s="8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0" customHeight="1">
      <c r="A1042" s="32">
        <v>1040.0</v>
      </c>
      <c r="B1042" s="4"/>
      <c r="C1042" s="4"/>
      <c r="D1042" s="8"/>
      <c r="E1042" s="8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0" customHeight="1">
      <c r="A1043" s="32">
        <v>1041.0</v>
      </c>
      <c r="B1043" s="4"/>
      <c r="C1043" s="4"/>
      <c r="D1043" s="8"/>
      <c r="E1043" s="8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0" customHeight="1">
      <c r="A1044" s="32">
        <v>1042.0</v>
      </c>
      <c r="B1044" s="4"/>
      <c r="C1044" s="4"/>
      <c r="D1044" s="8"/>
      <c r="E1044" s="8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0" customHeight="1">
      <c r="A1045" s="32">
        <v>1043.0</v>
      </c>
      <c r="B1045" s="4"/>
      <c r="C1045" s="4"/>
      <c r="D1045" s="8"/>
      <c r="E1045" s="8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0" customHeight="1">
      <c r="A1046" s="32">
        <v>1044.0</v>
      </c>
      <c r="B1046" s="4"/>
      <c r="C1046" s="4"/>
      <c r="D1046" s="8"/>
      <c r="E1046" s="8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0" customHeight="1">
      <c r="A1047" s="32">
        <v>1045.0</v>
      </c>
      <c r="B1047" s="4"/>
      <c r="C1047" s="4"/>
      <c r="D1047" s="8"/>
      <c r="E1047" s="8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0" customHeight="1">
      <c r="A1048" s="32">
        <v>1046.0</v>
      </c>
      <c r="B1048" s="4"/>
      <c r="C1048" s="4"/>
      <c r="D1048" s="8"/>
      <c r="E1048" s="8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0" customHeight="1">
      <c r="A1049" s="32">
        <v>1047.0</v>
      </c>
      <c r="B1049" s="4"/>
      <c r="C1049" s="4"/>
      <c r="D1049" s="8"/>
      <c r="E1049" s="8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0" customHeight="1">
      <c r="A1050" s="32">
        <v>1048.0</v>
      </c>
      <c r="B1050" s="4"/>
      <c r="C1050" s="4"/>
      <c r="D1050" s="8"/>
      <c r="E1050" s="8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0" customHeight="1">
      <c r="A1051" s="32">
        <v>1049.0</v>
      </c>
      <c r="B1051" s="4"/>
      <c r="C1051" s="4"/>
      <c r="D1051" s="8"/>
      <c r="E1051" s="8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0" customHeight="1">
      <c r="A1052" s="32">
        <v>1050.0</v>
      </c>
      <c r="B1052" s="4"/>
      <c r="C1052" s="4"/>
      <c r="D1052" s="8"/>
      <c r="E1052" s="8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0" customHeight="1">
      <c r="A1053" s="32">
        <v>1051.0</v>
      </c>
      <c r="B1053" s="4"/>
      <c r="C1053" s="4"/>
      <c r="D1053" s="8"/>
      <c r="E1053" s="8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0" customHeight="1">
      <c r="A1054" s="32">
        <v>1052.0</v>
      </c>
      <c r="B1054" s="4"/>
      <c r="C1054" s="4"/>
      <c r="D1054" s="8"/>
      <c r="E1054" s="8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0" customHeight="1">
      <c r="A1055" s="32">
        <v>1053.0</v>
      </c>
      <c r="B1055" s="4"/>
      <c r="C1055" s="4"/>
      <c r="D1055" s="8"/>
      <c r="E1055" s="8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0" customHeight="1">
      <c r="A1056" s="32">
        <v>1054.0</v>
      </c>
      <c r="B1056" s="4"/>
      <c r="C1056" s="4"/>
      <c r="D1056" s="8"/>
      <c r="E1056" s="8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0" customHeight="1">
      <c r="A1057" s="32">
        <v>1055.0</v>
      </c>
      <c r="B1057" s="4"/>
      <c r="C1057" s="4"/>
      <c r="D1057" s="8"/>
      <c r="E1057" s="8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0" customHeight="1">
      <c r="A1058" s="32">
        <v>1056.0</v>
      </c>
      <c r="B1058" s="4"/>
      <c r="C1058" s="4"/>
      <c r="D1058" s="8"/>
      <c r="E1058" s="8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0" customHeight="1">
      <c r="A1059" s="32">
        <v>1057.0</v>
      </c>
      <c r="B1059" s="4"/>
      <c r="C1059" s="4"/>
      <c r="D1059" s="8"/>
      <c r="E1059" s="8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0" customHeight="1">
      <c r="A1060" s="32">
        <v>1058.0</v>
      </c>
      <c r="B1060" s="4"/>
      <c r="C1060" s="4"/>
      <c r="D1060" s="8"/>
      <c r="E1060" s="8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0" customHeight="1">
      <c r="A1061" s="32">
        <v>1059.0</v>
      </c>
      <c r="B1061" s="4"/>
      <c r="C1061" s="4"/>
      <c r="D1061" s="8"/>
      <c r="E1061" s="8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0" customHeight="1">
      <c r="A1062" s="32">
        <v>1060.0</v>
      </c>
      <c r="B1062" s="4"/>
      <c r="C1062" s="4"/>
      <c r="D1062" s="8"/>
      <c r="E1062" s="8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0" customHeight="1">
      <c r="A1063" s="32">
        <v>1061.0</v>
      </c>
      <c r="B1063" s="4"/>
      <c r="C1063" s="4"/>
      <c r="D1063" s="8"/>
      <c r="E1063" s="8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0" customHeight="1">
      <c r="A1064" s="32">
        <v>1062.0</v>
      </c>
      <c r="B1064" s="4"/>
      <c r="C1064" s="4"/>
      <c r="D1064" s="8"/>
      <c r="E1064" s="8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0" customHeight="1">
      <c r="A1065" s="32">
        <v>1063.0</v>
      </c>
      <c r="B1065" s="4"/>
      <c r="C1065" s="4"/>
      <c r="D1065" s="8"/>
      <c r="E1065" s="8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0" customHeight="1">
      <c r="A1066" s="32">
        <v>1064.0</v>
      </c>
      <c r="B1066" s="4"/>
      <c r="C1066" s="4"/>
      <c r="D1066" s="8"/>
      <c r="E1066" s="8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0" customHeight="1">
      <c r="A1067" s="32">
        <v>1065.0</v>
      </c>
      <c r="B1067" s="4"/>
      <c r="C1067" s="4"/>
      <c r="D1067" s="8"/>
      <c r="E1067" s="8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0" customHeight="1">
      <c r="A1068" s="32">
        <v>1066.0</v>
      </c>
      <c r="B1068" s="4"/>
      <c r="C1068" s="4"/>
      <c r="D1068" s="8"/>
      <c r="E1068" s="8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0" customHeight="1">
      <c r="A1069" s="32">
        <v>1067.0</v>
      </c>
      <c r="B1069" s="4"/>
      <c r="C1069" s="4"/>
      <c r="D1069" s="8"/>
      <c r="E1069" s="8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0" customHeight="1">
      <c r="A1070" s="32">
        <v>1068.0</v>
      </c>
      <c r="B1070" s="4"/>
      <c r="C1070" s="4"/>
      <c r="D1070" s="8"/>
      <c r="E1070" s="8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0" customHeight="1">
      <c r="A1071" s="32">
        <v>1069.0</v>
      </c>
      <c r="B1071" s="4"/>
      <c r="C1071" s="4"/>
      <c r="D1071" s="8"/>
      <c r="E1071" s="8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0" customHeight="1">
      <c r="A1072" s="32">
        <v>1070.0</v>
      </c>
      <c r="B1072" s="4"/>
      <c r="C1072" s="4"/>
      <c r="D1072" s="8"/>
      <c r="E1072" s="8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0" customHeight="1">
      <c r="A1073" s="32">
        <v>1071.0</v>
      </c>
      <c r="B1073" s="4"/>
      <c r="C1073" s="4"/>
      <c r="D1073" s="8"/>
      <c r="E1073" s="8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0" customHeight="1">
      <c r="A1074" s="32">
        <v>1072.0</v>
      </c>
      <c r="B1074" s="4"/>
      <c r="C1074" s="4"/>
      <c r="D1074" s="8"/>
      <c r="E1074" s="8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0" customHeight="1">
      <c r="A1075" s="32">
        <v>1073.0</v>
      </c>
      <c r="B1075" s="4"/>
      <c r="C1075" s="4"/>
      <c r="D1075" s="8"/>
      <c r="E1075" s="8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0" customHeight="1">
      <c r="A1076" s="32">
        <v>1074.0</v>
      </c>
      <c r="B1076" s="4"/>
      <c r="C1076" s="4"/>
      <c r="D1076" s="8"/>
      <c r="E1076" s="8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0" customHeight="1">
      <c r="A1077" s="32">
        <v>1075.0</v>
      </c>
      <c r="B1077" s="4"/>
      <c r="C1077" s="4"/>
      <c r="D1077" s="8"/>
      <c r="E1077" s="8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0" customHeight="1">
      <c r="A1078" s="32">
        <v>1076.0</v>
      </c>
      <c r="B1078" s="4"/>
      <c r="C1078" s="4"/>
      <c r="D1078" s="8"/>
      <c r="E1078" s="8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0" customHeight="1">
      <c r="A1079" s="32">
        <v>1077.0</v>
      </c>
      <c r="B1079" s="4"/>
      <c r="C1079" s="4"/>
      <c r="D1079" s="8"/>
      <c r="E1079" s="8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0" customHeight="1">
      <c r="A1080" s="32">
        <v>1078.0</v>
      </c>
      <c r="B1080" s="4"/>
      <c r="C1080" s="4"/>
      <c r="D1080" s="8"/>
      <c r="E1080" s="8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0" customHeight="1">
      <c r="A1081" s="32">
        <v>1079.0</v>
      </c>
      <c r="B1081" s="4"/>
      <c r="C1081" s="4"/>
      <c r="D1081" s="8"/>
      <c r="E1081" s="8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0" customHeight="1">
      <c r="A1082" s="32">
        <v>1080.0</v>
      </c>
      <c r="B1082" s="4"/>
      <c r="C1082" s="4"/>
      <c r="D1082" s="8"/>
      <c r="E1082" s="8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0" customHeight="1">
      <c r="A1083" s="32">
        <v>1081.0</v>
      </c>
      <c r="B1083" s="4"/>
      <c r="C1083" s="4"/>
      <c r="D1083" s="8"/>
      <c r="E1083" s="8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0" customHeight="1">
      <c r="A1084" s="32">
        <v>1082.0</v>
      </c>
      <c r="B1084" s="4"/>
      <c r="C1084" s="4"/>
      <c r="D1084" s="8"/>
      <c r="E1084" s="8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0" customHeight="1">
      <c r="A1085" s="32">
        <v>1083.0</v>
      </c>
      <c r="B1085" s="4"/>
      <c r="C1085" s="4"/>
      <c r="D1085" s="8"/>
      <c r="E1085" s="8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0" customHeight="1">
      <c r="A1086" s="32">
        <v>1084.0</v>
      </c>
      <c r="B1086" s="4"/>
      <c r="C1086" s="4"/>
      <c r="D1086" s="8"/>
      <c r="E1086" s="8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0" customHeight="1">
      <c r="A1087" s="32">
        <v>1085.0</v>
      </c>
      <c r="B1087" s="4"/>
      <c r="C1087" s="4"/>
      <c r="D1087" s="8"/>
      <c r="E1087" s="8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0" customHeight="1">
      <c r="A1088" s="32">
        <v>1086.0</v>
      </c>
      <c r="B1088" s="4"/>
      <c r="C1088" s="4"/>
      <c r="D1088" s="8"/>
      <c r="E1088" s="8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0" customHeight="1">
      <c r="A1089" s="32">
        <v>1087.0</v>
      </c>
      <c r="B1089" s="4"/>
      <c r="C1089" s="4"/>
      <c r="D1089" s="8"/>
      <c r="E1089" s="8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0" customHeight="1">
      <c r="A1090" s="32">
        <v>1088.0</v>
      </c>
      <c r="B1090" s="4"/>
      <c r="C1090" s="4"/>
      <c r="D1090" s="8"/>
      <c r="E1090" s="8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0" customHeight="1">
      <c r="A1091" s="32">
        <v>1089.0</v>
      </c>
      <c r="B1091" s="4"/>
      <c r="C1091" s="4"/>
      <c r="D1091" s="8"/>
      <c r="E1091" s="8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0" customHeight="1">
      <c r="A1092" s="32">
        <v>1090.0</v>
      </c>
      <c r="B1092" s="4"/>
      <c r="C1092" s="4"/>
      <c r="D1092" s="8"/>
      <c r="E1092" s="8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0" customHeight="1">
      <c r="A1093" s="32">
        <v>1091.0</v>
      </c>
      <c r="B1093" s="4"/>
      <c r="C1093" s="4"/>
      <c r="D1093" s="8"/>
      <c r="E1093" s="8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0" customHeight="1">
      <c r="A1094" s="32">
        <v>1092.0</v>
      </c>
      <c r="B1094" s="4"/>
      <c r="C1094" s="4"/>
      <c r="D1094" s="8"/>
      <c r="E1094" s="8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0" customHeight="1">
      <c r="A1095" s="32">
        <v>1093.0</v>
      </c>
      <c r="B1095" s="4"/>
      <c r="C1095" s="4"/>
      <c r="D1095" s="8"/>
      <c r="E1095" s="8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0" customHeight="1">
      <c r="A1096" s="32">
        <v>1094.0</v>
      </c>
      <c r="B1096" s="4"/>
      <c r="C1096" s="4"/>
      <c r="D1096" s="8"/>
      <c r="E1096" s="8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0" customHeight="1">
      <c r="A1097" s="32">
        <v>1095.0</v>
      </c>
      <c r="B1097" s="4"/>
      <c r="C1097" s="4"/>
      <c r="D1097" s="8"/>
      <c r="E1097" s="8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0" customHeight="1">
      <c r="A1098" s="32">
        <v>1096.0</v>
      </c>
      <c r="B1098" s="4"/>
      <c r="C1098" s="4"/>
      <c r="D1098" s="8"/>
      <c r="E1098" s="8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0" customHeight="1">
      <c r="A1099" s="32">
        <v>1097.0</v>
      </c>
      <c r="B1099" s="4"/>
      <c r="C1099" s="4"/>
      <c r="D1099" s="8"/>
      <c r="E1099" s="8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0" customHeight="1">
      <c r="A1100" s="32">
        <v>1098.0</v>
      </c>
      <c r="B1100" s="4"/>
      <c r="C1100" s="4"/>
      <c r="D1100" s="8"/>
      <c r="E1100" s="8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0" customHeight="1">
      <c r="A1101" s="32">
        <v>1099.0</v>
      </c>
      <c r="B1101" s="4"/>
      <c r="C1101" s="4"/>
      <c r="D1101" s="8"/>
      <c r="E1101" s="8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0" customHeight="1">
      <c r="A1102" s="32">
        <v>1100.0</v>
      </c>
      <c r="B1102" s="4"/>
      <c r="C1102" s="4"/>
      <c r="D1102" s="8"/>
      <c r="E1102" s="8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0" customHeight="1">
      <c r="A1103" s="32">
        <v>1101.0</v>
      </c>
      <c r="B1103" s="4"/>
      <c r="C1103" s="4"/>
      <c r="D1103" s="8"/>
      <c r="E1103" s="8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0" customHeight="1">
      <c r="A1104" s="32">
        <v>1102.0</v>
      </c>
      <c r="B1104" s="4"/>
      <c r="C1104" s="4"/>
      <c r="D1104" s="8"/>
      <c r="E1104" s="8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0" customHeight="1">
      <c r="A1105" s="32">
        <v>1103.0</v>
      </c>
      <c r="B1105" s="4"/>
      <c r="C1105" s="4"/>
      <c r="D1105" s="8"/>
      <c r="E1105" s="8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0" customHeight="1">
      <c r="A1106" s="32">
        <v>1104.0</v>
      </c>
      <c r="B1106" s="4"/>
      <c r="C1106" s="4"/>
      <c r="D1106" s="8"/>
      <c r="E1106" s="8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0" customHeight="1">
      <c r="A1107" s="32">
        <v>1105.0</v>
      </c>
      <c r="B1107" s="4"/>
      <c r="C1107" s="4"/>
      <c r="D1107" s="8"/>
      <c r="E1107" s="8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0" customHeight="1">
      <c r="A1108" s="32">
        <v>1106.0</v>
      </c>
      <c r="B1108" s="4"/>
      <c r="C1108" s="4"/>
      <c r="D1108" s="8"/>
      <c r="E1108" s="8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0" customHeight="1">
      <c r="A1109" s="32">
        <v>1107.0</v>
      </c>
      <c r="B1109" s="4"/>
      <c r="C1109" s="4"/>
      <c r="D1109" s="8"/>
      <c r="E1109" s="8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0" customHeight="1">
      <c r="A1110" s="32">
        <v>1108.0</v>
      </c>
      <c r="B1110" s="4"/>
      <c r="C1110" s="4"/>
      <c r="D1110" s="8"/>
      <c r="E1110" s="8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0" customHeight="1">
      <c r="A1111" s="32">
        <v>1109.0</v>
      </c>
      <c r="B1111" s="4"/>
      <c r="C1111" s="4"/>
      <c r="D1111" s="8"/>
      <c r="E1111" s="8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0" customHeight="1">
      <c r="A1112" s="32">
        <v>1110.0</v>
      </c>
      <c r="B1112" s="4"/>
      <c r="C1112" s="4"/>
      <c r="D1112" s="8"/>
      <c r="E1112" s="8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0" customHeight="1">
      <c r="A1113" s="32">
        <v>1111.0</v>
      </c>
      <c r="B1113" s="4"/>
      <c r="C1113" s="4"/>
      <c r="D1113" s="8"/>
      <c r="E1113" s="8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0" customHeight="1">
      <c r="A1114" s="32">
        <v>1112.0</v>
      </c>
      <c r="B1114" s="4"/>
      <c r="C1114" s="4"/>
      <c r="D1114" s="8"/>
      <c r="E1114" s="8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0" customHeight="1">
      <c r="A1115" s="32">
        <v>1113.0</v>
      </c>
      <c r="B1115" s="4"/>
      <c r="C1115" s="4"/>
      <c r="D1115" s="8"/>
      <c r="E1115" s="8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0" customHeight="1">
      <c r="A1116" s="32">
        <v>1114.0</v>
      </c>
      <c r="B1116" s="4"/>
      <c r="C1116" s="4"/>
      <c r="D1116" s="8"/>
      <c r="E1116" s="8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0" customHeight="1">
      <c r="A1117" s="32">
        <v>1115.0</v>
      </c>
      <c r="B1117" s="4"/>
      <c r="C1117" s="4"/>
      <c r="D1117" s="8"/>
      <c r="E1117" s="8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0" customHeight="1">
      <c r="A1118" s="32">
        <v>1116.0</v>
      </c>
      <c r="B1118" s="4"/>
      <c r="C1118" s="4"/>
      <c r="D1118" s="8"/>
      <c r="E1118" s="8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0" customHeight="1">
      <c r="A1119" s="32">
        <v>1117.0</v>
      </c>
      <c r="B1119" s="4"/>
      <c r="C1119" s="4"/>
      <c r="D1119" s="8"/>
      <c r="E1119" s="8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0" customHeight="1">
      <c r="A1120" s="32">
        <v>1118.0</v>
      </c>
      <c r="B1120" s="4"/>
      <c r="C1120" s="4"/>
      <c r="D1120" s="8"/>
      <c r="E1120" s="8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0" customHeight="1">
      <c r="A1121" s="32">
        <v>1119.0</v>
      </c>
      <c r="B1121" s="4"/>
      <c r="C1121" s="4"/>
      <c r="D1121" s="8"/>
      <c r="E1121" s="8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0" customHeight="1">
      <c r="A1122" s="32">
        <v>1120.0</v>
      </c>
      <c r="B1122" s="4"/>
      <c r="C1122" s="4"/>
      <c r="D1122" s="8"/>
      <c r="E1122" s="8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0" customHeight="1">
      <c r="A1123" s="32">
        <v>1121.0</v>
      </c>
      <c r="B1123" s="4"/>
      <c r="C1123" s="4"/>
      <c r="D1123" s="8"/>
      <c r="E1123" s="8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0" customHeight="1">
      <c r="A1124" s="32">
        <v>1122.0</v>
      </c>
      <c r="B1124" s="4"/>
      <c r="C1124" s="4"/>
      <c r="D1124" s="8"/>
      <c r="E1124" s="8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0" customHeight="1">
      <c r="A1125" s="32">
        <v>1123.0</v>
      </c>
      <c r="B1125" s="4"/>
      <c r="C1125" s="4"/>
      <c r="D1125" s="8"/>
      <c r="E1125" s="8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0" customHeight="1">
      <c r="A1126" s="32">
        <v>1124.0</v>
      </c>
      <c r="B1126" s="4"/>
      <c r="C1126" s="4"/>
      <c r="D1126" s="8"/>
      <c r="E1126" s="8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0" customHeight="1">
      <c r="A1127" s="32">
        <v>1125.0</v>
      </c>
      <c r="B1127" s="4"/>
      <c r="C1127" s="4"/>
      <c r="D1127" s="8"/>
      <c r="E1127" s="8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0" customHeight="1">
      <c r="A1128" s="32">
        <v>1126.0</v>
      </c>
      <c r="B1128" s="4"/>
      <c r="C1128" s="4"/>
      <c r="D1128" s="8"/>
      <c r="E1128" s="8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0" customHeight="1">
      <c r="A1129" s="32">
        <v>1127.0</v>
      </c>
      <c r="B1129" s="4"/>
      <c r="C1129" s="4"/>
      <c r="D1129" s="8"/>
      <c r="E1129" s="8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0" customHeight="1">
      <c r="A1130" s="32">
        <v>1128.0</v>
      </c>
      <c r="B1130" s="4"/>
      <c r="C1130" s="4"/>
      <c r="D1130" s="8"/>
      <c r="E1130" s="8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0" customHeight="1">
      <c r="A1131" s="32">
        <v>1129.0</v>
      </c>
      <c r="B1131" s="4"/>
      <c r="C1131" s="4"/>
      <c r="D1131" s="8"/>
      <c r="E1131" s="8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0" customHeight="1">
      <c r="A1132" s="32">
        <v>1130.0</v>
      </c>
      <c r="B1132" s="4"/>
      <c r="C1132" s="4"/>
      <c r="D1132" s="8"/>
      <c r="E1132" s="8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0" customHeight="1">
      <c r="A1133" s="32">
        <v>1131.0</v>
      </c>
      <c r="B1133" s="4"/>
      <c r="C1133" s="4"/>
      <c r="D1133" s="8"/>
      <c r="E1133" s="8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0" customHeight="1">
      <c r="A1134" s="32">
        <v>1132.0</v>
      </c>
      <c r="B1134" s="4"/>
      <c r="C1134" s="4"/>
      <c r="D1134" s="8"/>
      <c r="E1134" s="8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0" customHeight="1">
      <c r="A1135" s="32">
        <v>1133.0</v>
      </c>
      <c r="B1135" s="4"/>
      <c r="C1135" s="4"/>
      <c r="D1135" s="8"/>
      <c r="E1135" s="8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0" customHeight="1">
      <c r="A1136" s="32">
        <v>1134.0</v>
      </c>
      <c r="B1136" s="4"/>
      <c r="C1136" s="4"/>
      <c r="D1136" s="8"/>
      <c r="E1136" s="8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0" customHeight="1">
      <c r="A1137" s="32">
        <v>1135.0</v>
      </c>
      <c r="B1137" s="4"/>
      <c r="C1137" s="4"/>
      <c r="D1137" s="8"/>
      <c r="E1137" s="8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0" customHeight="1">
      <c r="A1138" s="32">
        <v>1136.0</v>
      </c>
      <c r="B1138" s="4"/>
      <c r="C1138" s="4"/>
      <c r="D1138" s="8"/>
      <c r="E1138" s="8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0" customHeight="1">
      <c r="A1139" s="32">
        <v>1137.0</v>
      </c>
      <c r="B1139" s="4"/>
      <c r="C1139" s="4"/>
      <c r="D1139" s="8"/>
      <c r="E1139" s="8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0" customHeight="1">
      <c r="A1140" s="32">
        <v>1138.0</v>
      </c>
      <c r="B1140" s="4"/>
      <c r="C1140" s="4"/>
      <c r="D1140" s="8"/>
      <c r="E1140" s="8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0" customHeight="1">
      <c r="A1141" s="32">
        <v>1139.0</v>
      </c>
      <c r="B1141" s="4"/>
      <c r="C1141" s="4"/>
      <c r="D1141" s="8"/>
      <c r="E1141" s="8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0" customHeight="1">
      <c r="A1142" s="32">
        <v>1140.0</v>
      </c>
      <c r="B1142" s="4"/>
      <c r="C1142" s="4"/>
      <c r="D1142" s="8"/>
      <c r="E1142" s="8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0" customHeight="1">
      <c r="A1143" s="32">
        <v>1141.0</v>
      </c>
      <c r="B1143" s="4"/>
      <c r="C1143" s="4"/>
      <c r="D1143" s="8"/>
      <c r="E1143" s="8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0" customHeight="1">
      <c r="A1144" s="32">
        <v>1142.0</v>
      </c>
      <c r="B1144" s="4"/>
      <c r="C1144" s="4"/>
      <c r="D1144" s="8"/>
      <c r="E1144" s="8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0" customHeight="1">
      <c r="A1145" s="32">
        <v>1143.0</v>
      </c>
      <c r="B1145" s="4"/>
      <c r="C1145" s="4"/>
      <c r="D1145" s="8"/>
      <c r="E1145" s="8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0" customHeight="1">
      <c r="A1146" s="32">
        <v>1144.0</v>
      </c>
      <c r="B1146" s="4"/>
      <c r="C1146" s="4"/>
      <c r="D1146" s="8"/>
      <c r="E1146" s="8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0" customHeight="1">
      <c r="A1147" s="32">
        <v>1145.0</v>
      </c>
      <c r="B1147" s="4"/>
      <c r="C1147" s="4"/>
      <c r="D1147" s="8"/>
      <c r="E1147" s="8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0" customHeight="1">
      <c r="A1148" s="32">
        <v>1146.0</v>
      </c>
      <c r="B1148" s="4"/>
      <c r="C1148" s="4"/>
      <c r="D1148" s="8"/>
      <c r="E1148" s="8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0" customHeight="1">
      <c r="A1149" s="32">
        <v>1147.0</v>
      </c>
      <c r="B1149" s="4"/>
      <c r="C1149" s="4"/>
      <c r="D1149" s="8"/>
      <c r="E1149" s="8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0" customHeight="1">
      <c r="A1150" s="32">
        <v>1148.0</v>
      </c>
      <c r="B1150" s="4"/>
      <c r="C1150" s="4"/>
      <c r="D1150" s="8"/>
      <c r="E1150" s="8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0" customHeight="1">
      <c r="A1151" s="32">
        <v>1149.0</v>
      </c>
      <c r="B1151" s="4"/>
      <c r="C1151" s="4"/>
      <c r="D1151" s="8"/>
      <c r="E1151" s="8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0" customHeight="1">
      <c r="A1152" s="32">
        <v>1150.0</v>
      </c>
      <c r="B1152" s="4"/>
      <c r="C1152" s="4"/>
      <c r="D1152" s="8"/>
      <c r="E1152" s="8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0" customHeight="1">
      <c r="A1153" s="32">
        <v>1151.0</v>
      </c>
      <c r="B1153" s="4"/>
      <c r="C1153" s="4"/>
      <c r="D1153" s="8"/>
      <c r="E1153" s="8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0" customHeight="1">
      <c r="A1154" s="32">
        <v>1152.0</v>
      </c>
      <c r="B1154" s="4"/>
      <c r="C1154" s="4"/>
      <c r="D1154" s="8"/>
      <c r="E1154" s="8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0" customHeight="1">
      <c r="A1155" s="32">
        <v>1153.0</v>
      </c>
      <c r="B1155" s="4"/>
      <c r="C1155" s="4"/>
      <c r="D1155" s="8"/>
      <c r="E1155" s="8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0" customHeight="1">
      <c r="A1156" s="32">
        <v>1154.0</v>
      </c>
      <c r="B1156" s="4"/>
      <c r="C1156" s="4"/>
      <c r="D1156" s="8"/>
      <c r="E1156" s="8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0" customHeight="1">
      <c r="A1157" s="32">
        <v>1155.0</v>
      </c>
      <c r="B1157" s="4"/>
      <c r="C1157" s="4"/>
      <c r="D1157" s="8"/>
      <c r="E1157" s="8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0" customHeight="1">
      <c r="A1158" s="32">
        <v>1156.0</v>
      </c>
      <c r="B1158" s="4"/>
      <c r="C1158" s="4"/>
      <c r="D1158" s="8"/>
      <c r="E1158" s="8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0" customHeight="1">
      <c r="A1159" s="32">
        <v>1157.0</v>
      </c>
      <c r="B1159" s="4"/>
      <c r="C1159" s="4"/>
      <c r="D1159" s="8"/>
      <c r="E1159" s="8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0" customHeight="1">
      <c r="A1160" s="32">
        <v>1158.0</v>
      </c>
      <c r="B1160" s="4"/>
      <c r="C1160" s="4"/>
      <c r="D1160" s="8"/>
      <c r="E1160" s="8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0" customHeight="1">
      <c r="A1161" s="32">
        <v>1159.0</v>
      </c>
      <c r="B1161" s="4"/>
      <c r="C1161" s="4"/>
      <c r="D1161" s="8"/>
      <c r="E1161" s="8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0" customHeight="1">
      <c r="A1162" s="32">
        <v>1160.0</v>
      </c>
      <c r="B1162" s="4"/>
      <c r="C1162" s="4"/>
      <c r="D1162" s="8"/>
      <c r="E1162" s="8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0" customHeight="1">
      <c r="A1163" s="32">
        <v>1161.0</v>
      </c>
      <c r="B1163" s="4"/>
      <c r="C1163" s="4"/>
      <c r="D1163" s="8"/>
      <c r="E1163" s="8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0" customHeight="1">
      <c r="A1164" s="32">
        <v>1162.0</v>
      </c>
      <c r="B1164" s="4"/>
      <c r="C1164" s="4"/>
      <c r="D1164" s="8"/>
      <c r="E1164" s="8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0" customHeight="1">
      <c r="A1165" s="32">
        <v>1163.0</v>
      </c>
      <c r="B1165" s="4"/>
      <c r="C1165" s="4"/>
      <c r="D1165" s="8"/>
      <c r="E1165" s="8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0" customHeight="1">
      <c r="A1166" s="32">
        <v>1164.0</v>
      </c>
      <c r="B1166" s="4"/>
      <c r="C1166" s="4"/>
      <c r="D1166" s="8"/>
      <c r="E1166" s="8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0" customHeight="1">
      <c r="A1167" s="32">
        <v>1165.0</v>
      </c>
      <c r="B1167" s="4"/>
      <c r="C1167" s="4"/>
      <c r="D1167" s="8"/>
      <c r="E1167" s="8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0" customHeight="1">
      <c r="A1168" s="32">
        <v>1166.0</v>
      </c>
      <c r="B1168" s="4"/>
      <c r="C1168" s="4"/>
      <c r="D1168" s="8"/>
      <c r="E1168" s="8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0" customHeight="1">
      <c r="A1169" s="32">
        <v>1167.0</v>
      </c>
      <c r="B1169" s="4"/>
      <c r="C1169" s="4"/>
      <c r="D1169" s="8"/>
      <c r="E1169" s="8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0" customHeight="1">
      <c r="A1170" s="32">
        <v>1168.0</v>
      </c>
      <c r="B1170" s="4"/>
      <c r="C1170" s="4"/>
      <c r="D1170" s="8"/>
      <c r="E1170" s="8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0" customHeight="1">
      <c r="A1171" s="32">
        <v>1169.0</v>
      </c>
      <c r="B1171" s="4"/>
      <c r="C1171" s="4"/>
      <c r="D1171" s="8"/>
      <c r="E1171" s="8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0" customHeight="1">
      <c r="A1172" s="32">
        <v>1170.0</v>
      </c>
      <c r="B1172" s="4"/>
      <c r="C1172" s="4"/>
      <c r="D1172" s="8"/>
      <c r="E1172" s="8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0" customHeight="1">
      <c r="A1173" s="32">
        <v>1171.0</v>
      </c>
      <c r="B1173" s="4"/>
      <c r="C1173" s="4"/>
      <c r="D1173" s="8"/>
      <c r="E1173" s="8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0" customHeight="1">
      <c r="A1174" s="32">
        <v>1172.0</v>
      </c>
      <c r="B1174" s="4"/>
      <c r="C1174" s="4"/>
      <c r="D1174" s="8"/>
      <c r="E1174" s="8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0" customHeight="1">
      <c r="A1175" s="32">
        <v>1173.0</v>
      </c>
      <c r="B1175" s="4"/>
      <c r="C1175" s="4"/>
      <c r="D1175" s="8"/>
      <c r="E1175" s="8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0" customHeight="1">
      <c r="A1176" s="32">
        <v>1174.0</v>
      </c>
      <c r="B1176" s="4"/>
      <c r="C1176" s="4"/>
      <c r="D1176" s="8"/>
      <c r="E1176" s="8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0" customHeight="1">
      <c r="A1177" s="32">
        <v>1175.0</v>
      </c>
      <c r="B1177" s="4"/>
      <c r="C1177" s="4"/>
      <c r="D1177" s="8"/>
      <c r="E1177" s="8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0" customHeight="1">
      <c r="A1178" s="32">
        <v>1176.0</v>
      </c>
      <c r="B1178" s="4"/>
      <c r="C1178" s="4"/>
      <c r="D1178" s="8"/>
      <c r="E1178" s="8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0" customHeight="1">
      <c r="A1179" s="32">
        <v>1177.0</v>
      </c>
      <c r="B1179" s="4"/>
      <c r="C1179" s="4"/>
      <c r="D1179" s="8"/>
      <c r="E1179" s="8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0" customHeight="1">
      <c r="A1180" s="32">
        <v>1178.0</v>
      </c>
      <c r="B1180" s="4"/>
      <c r="C1180" s="4"/>
      <c r="D1180" s="8"/>
      <c r="E1180" s="8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0" customHeight="1">
      <c r="A1181" s="32">
        <v>1179.0</v>
      </c>
      <c r="B1181" s="4"/>
      <c r="C1181" s="4"/>
      <c r="D1181" s="8"/>
      <c r="E1181" s="8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0" customHeight="1">
      <c r="A1182" s="32">
        <v>1180.0</v>
      </c>
      <c r="B1182" s="4"/>
      <c r="C1182" s="4"/>
      <c r="D1182" s="8"/>
      <c r="E1182" s="8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0" customHeight="1">
      <c r="A1183" s="32">
        <v>1181.0</v>
      </c>
      <c r="B1183" s="4"/>
      <c r="C1183" s="4"/>
      <c r="D1183" s="8"/>
      <c r="E1183" s="8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0" customHeight="1">
      <c r="A1184" s="32">
        <v>1182.0</v>
      </c>
      <c r="B1184" s="4"/>
      <c r="C1184" s="4"/>
      <c r="D1184" s="8"/>
      <c r="E1184" s="8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0" customHeight="1">
      <c r="A1185" s="32">
        <v>1183.0</v>
      </c>
      <c r="B1185" s="4"/>
      <c r="C1185" s="4"/>
      <c r="D1185" s="8"/>
      <c r="E1185" s="8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0" customHeight="1">
      <c r="A1186" s="32">
        <v>1184.0</v>
      </c>
      <c r="B1186" s="4"/>
      <c r="C1186" s="4"/>
      <c r="D1186" s="8"/>
      <c r="E1186" s="8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0" customHeight="1">
      <c r="A1187" s="32">
        <v>1185.0</v>
      </c>
      <c r="B1187" s="4"/>
      <c r="C1187" s="4"/>
      <c r="D1187" s="8"/>
      <c r="E1187" s="8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0" customHeight="1">
      <c r="A1188" s="32">
        <v>1186.0</v>
      </c>
      <c r="B1188" s="4"/>
      <c r="C1188" s="4"/>
      <c r="D1188" s="8"/>
      <c r="E1188" s="8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0" customHeight="1">
      <c r="A1189" s="32">
        <v>1187.0</v>
      </c>
      <c r="B1189" s="4"/>
      <c r="C1189" s="4"/>
      <c r="D1189" s="8"/>
      <c r="E1189" s="8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0" customHeight="1">
      <c r="A1190" s="32">
        <v>1188.0</v>
      </c>
      <c r="B1190" s="4"/>
      <c r="C1190" s="4"/>
      <c r="D1190" s="8"/>
      <c r="E1190" s="8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0" customHeight="1">
      <c r="A1191" s="32">
        <v>1189.0</v>
      </c>
      <c r="B1191" s="4"/>
      <c r="C1191" s="4"/>
      <c r="D1191" s="8"/>
      <c r="E1191" s="8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0" customHeight="1">
      <c r="A1192" s="32">
        <v>1190.0</v>
      </c>
      <c r="B1192" s="4"/>
      <c r="C1192" s="4"/>
      <c r="D1192" s="8"/>
      <c r="E1192" s="8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0" customHeight="1">
      <c r="A1193" s="32">
        <v>1191.0</v>
      </c>
      <c r="B1193" s="4"/>
      <c r="C1193" s="4"/>
      <c r="D1193" s="8"/>
      <c r="E1193" s="8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0" customHeight="1">
      <c r="A1194" s="32">
        <v>1192.0</v>
      </c>
      <c r="B1194" s="4"/>
      <c r="C1194" s="4"/>
      <c r="D1194" s="8"/>
      <c r="E1194" s="8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0" customHeight="1">
      <c r="A1195" s="32">
        <v>1193.0</v>
      </c>
      <c r="B1195" s="4"/>
      <c r="C1195" s="4"/>
      <c r="D1195" s="8"/>
      <c r="E1195" s="8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0" customHeight="1">
      <c r="A1196" s="32">
        <v>1194.0</v>
      </c>
      <c r="B1196" s="4"/>
      <c r="C1196" s="4"/>
      <c r="D1196" s="8"/>
      <c r="E1196" s="8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0" customHeight="1">
      <c r="A1197" s="32">
        <v>1195.0</v>
      </c>
      <c r="B1197" s="4"/>
      <c r="C1197" s="4"/>
      <c r="D1197" s="8"/>
      <c r="E1197" s="8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0" customHeight="1">
      <c r="A1198" s="32">
        <v>1196.0</v>
      </c>
      <c r="B1198" s="4"/>
      <c r="C1198" s="4"/>
      <c r="D1198" s="8"/>
      <c r="E1198" s="8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0" customHeight="1">
      <c r="A1199" s="32">
        <v>1197.0</v>
      </c>
      <c r="B1199" s="4"/>
      <c r="C1199" s="4"/>
      <c r="D1199" s="8"/>
      <c r="E1199" s="8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0" customHeight="1">
      <c r="A1200" s="32">
        <v>1198.0</v>
      </c>
      <c r="B1200" s="4"/>
      <c r="C1200" s="4"/>
      <c r="D1200" s="8"/>
      <c r="E1200" s="8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0" customHeight="1">
      <c r="A1201" s="32">
        <v>1199.0</v>
      </c>
      <c r="B1201" s="4"/>
      <c r="C1201" s="4"/>
      <c r="D1201" s="8"/>
      <c r="E1201" s="8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0" customHeight="1">
      <c r="A1202" s="32">
        <v>1200.0</v>
      </c>
      <c r="B1202" s="4"/>
      <c r="C1202" s="4"/>
      <c r="D1202" s="8"/>
      <c r="E1202" s="8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0" customHeight="1">
      <c r="A1203" s="32">
        <v>1201.0</v>
      </c>
      <c r="B1203" s="4"/>
      <c r="C1203" s="4"/>
      <c r="D1203" s="8"/>
      <c r="E1203" s="8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0" customHeight="1">
      <c r="A1204" s="32">
        <v>1202.0</v>
      </c>
      <c r="B1204" s="4"/>
      <c r="C1204" s="4"/>
      <c r="D1204" s="8"/>
      <c r="E1204" s="8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0" customHeight="1">
      <c r="A1205" s="32">
        <v>1203.0</v>
      </c>
      <c r="B1205" s="4"/>
      <c r="C1205" s="4"/>
      <c r="D1205" s="8"/>
      <c r="E1205" s="8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0" customHeight="1">
      <c r="A1206" s="32">
        <v>1204.0</v>
      </c>
      <c r="B1206" s="4"/>
      <c r="C1206" s="4"/>
      <c r="D1206" s="8"/>
      <c r="E1206" s="8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0" customHeight="1">
      <c r="A1207" s="32">
        <v>1205.0</v>
      </c>
      <c r="B1207" s="4"/>
      <c r="C1207" s="4"/>
      <c r="D1207" s="8"/>
      <c r="E1207" s="8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0" customHeight="1">
      <c r="A1208" s="32">
        <v>1206.0</v>
      </c>
      <c r="B1208" s="4"/>
      <c r="C1208" s="4"/>
      <c r="D1208" s="8"/>
      <c r="E1208" s="8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0" customHeight="1">
      <c r="A1209" s="32">
        <v>1207.0</v>
      </c>
      <c r="B1209" s="4"/>
      <c r="C1209" s="4"/>
      <c r="D1209" s="8"/>
      <c r="E1209" s="8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0" customHeight="1">
      <c r="A1210" s="32">
        <v>1208.0</v>
      </c>
      <c r="B1210" s="4"/>
      <c r="C1210" s="4"/>
      <c r="D1210" s="8"/>
      <c r="E1210" s="8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0" customHeight="1">
      <c r="A1211" s="32">
        <v>1209.0</v>
      </c>
      <c r="B1211" s="4"/>
      <c r="C1211" s="4"/>
      <c r="D1211" s="8"/>
      <c r="E1211" s="8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0" customHeight="1">
      <c r="A1212" s="32">
        <v>1210.0</v>
      </c>
      <c r="B1212" s="4"/>
      <c r="C1212" s="4"/>
      <c r="D1212" s="8"/>
      <c r="E1212" s="8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0" customHeight="1">
      <c r="A1213" s="32">
        <v>1211.0</v>
      </c>
      <c r="B1213" s="4"/>
      <c r="C1213" s="4"/>
      <c r="D1213" s="8"/>
      <c r="E1213" s="8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0" customHeight="1">
      <c r="A1214" s="32">
        <v>1212.0</v>
      </c>
      <c r="B1214" s="4"/>
      <c r="C1214" s="4"/>
      <c r="D1214" s="8"/>
      <c r="E1214" s="8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0" customHeight="1">
      <c r="A1215" s="32">
        <v>1213.0</v>
      </c>
      <c r="B1215" s="4"/>
      <c r="C1215" s="4"/>
      <c r="D1215" s="8"/>
      <c r="E1215" s="8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0" customHeight="1">
      <c r="A1216" s="32">
        <v>1214.0</v>
      </c>
      <c r="B1216" s="4"/>
      <c r="C1216" s="4"/>
      <c r="D1216" s="8"/>
      <c r="E1216" s="8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0" customHeight="1">
      <c r="A1217" s="32">
        <v>1215.0</v>
      </c>
      <c r="B1217" s="4"/>
      <c r="C1217" s="4"/>
      <c r="D1217" s="8"/>
      <c r="E1217" s="8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0" customHeight="1">
      <c r="A1218" s="32">
        <v>1216.0</v>
      </c>
      <c r="B1218" s="4"/>
      <c r="C1218" s="4"/>
      <c r="D1218" s="8"/>
      <c r="E1218" s="8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0" customHeight="1">
      <c r="A1219" s="32">
        <v>1217.0</v>
      </c>
      <c r="B1219" s="4"/>
      <c r="C1219" s="4"/>
      <c r="D1219" s="8"/>
      <c r="E1219" s="8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0" customHeight="1">
      <c r="A1220" s="32">
        <v>1218.0</v>
      </c>
      <c r="B1220" s="4"/>
      <c r="C1220" s="4"/>
      <c r="D1220" s="8"/>
      <c r="E1220" s="8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0" customHeight="1">
      <c r="A1221" s="32">
        <v>1219.0</v>
      </c>
      <c r="B1221" s="4"/>
      <c r="C1221" s="4"/>
      <c r="D1221" s="8"/>
      <c r="E1221" s="8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0" customHeight="1">
      <c r="A1222" s="32">
        <v>1220.0</v>
      </c>
      <c r="B1222" s="4"/>
      <c r="C1222" s="4"/>
      <c r="D1222" s="8"/>
      <c r="E1222" s="8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0" customHeight="1">
      <c r="A1223" s="32">
        <v>1221.0</v>
      </c>
      <c r="B1223" s="4"/>
      <c r="C1223" s="4"/>
      <c r="D1223" s="8"/>
      <c r="E1223" s="8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0" customHeight="1">
      <c r="A1224" s="32">
        <v>1222.0</v>
      </c>
      <c r="B1224" s="4"/>
      <c r="C1224" s="4"/>
      <c r="D1224" s="8"/>
      <c r="E1224" s="8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0" customHeight="1">
      <c r="A1225" s="32">
        <v>1223.0</v>
      </c>
      <c r="B1225" s="4"/>
      <c r="C1225" s="4"/>
      <c r="D1225" s="8"/>
      <c r="E1225" s="8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0" customHeight="1">
      <c r="A1226" s="32">
        <v>1224.0</v>
      </c>
      <c r="B1226" s="4"/>
      <c r="C1226" s="4"/>
      <c r="D1226" s="8"/>
      <c r="E1226" s="8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0" customHeight="1">
      <c r="A1227" s="32">
        <v>1225.0</v>
      </c>
      <c r="B1227" s="4"/>
      <c r="C1227" s="4"/>
      <c r="D1227" s="8"/>
      <c r="E1227" s="8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0" customHeight="1">
      <c r="A1228" s="32">
        <v>1226.0</v>
      </c>
      <c r="B1228" s="4"/>
      <c r="C1228" s="4"/>
      <c r="D1228" s="8"/>
      <c r="E1228" s="8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0" customHeight="1">
      <c r="A1229" s="32">
        <v>1227.0</v>
      </c>
      <c r="B1229" s="4"/>
      <c r="C1229" s="4"/>
      <c r="D1229" s="8"/>
      <c r="E1229" s="8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0" customHeight="1">
      <c r="A1230" s="32">
        <v>1228.0</v>
      </c>
      <c r="B1230" s="4"/>
      <c r="C1230" s="4"/>
      <c r="D1230" s="8"/>
      <c r="E1230" s="8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0" customHeight="1">
      <c r="A1231" s="32">
        <v>1229.0</v>
      </c>
      <c r="B1231" s="4"/>
      <c r="C1231" s="4"/>
      <c r="D1231" s="8"/>
      <c r="E1231" s="8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0" customHeight="1">
      <c r="A1232" s="32">
        <v>1230.0</v>
      </c>
      <c r="B1232" s="4"/>
      <c r="C1232" s="4"/>
      <c r="D1232" s="8"/>
      <c r="E1232" s="8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0" customHeight="1">
      <c r="A1233" s="32">
        <v>1231.0</v>
      </c>
      <c r="B1233" s="4"/>
      <c r="C1233" s="4"/>
      <c r="D1233" s="8"/>
      <c r="E1233" s="8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0" customHeight="1">
      <c r="A1234" s="32">
        <v>1232.0</v>
      </c>
      <c r="B1234" s="4"/>
      <c r="C1234" s="4"/>
      <c r="D1234" s="8"/>
      <c r="E1234" s="8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0" customHeight="1">
      <c r="A1235" s="32">
        <v>1233.0</v>
      </c>
      <c r="B1235" s="4"/>
      <c r="C1235" s="4"/>
      <c r="D1235" s="8"/>
      <c r="E1235" s="8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0" customHeight="1">
      <c r="A1236" s="32">
        <v>1234.0</v>
      </c>
      <c r="B1236" s="4"/>
      <c r="C1236" s="4"/>
      <c r="D1236" s="8"/>
      <c r="E1236" s="8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0" customHeight="1">
      <c r="A1237" s="32">
        <v>1235.0</v>
      </c>
      <c r="B1237" s="4"/>
      <c r="C1237" s="4"/>
      <c r="D1237" s="8"/>
      <c r="E1237" s="8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0" customHeight="1">
      <c r="A1238" s="32">
        <v>1236.0</v>
      </c>
      <c r="B1238" s="4"/>
      <c r="C1238" s="4"/>
      <c r="D1238" s="8"/>
      <c r="E1238" s="8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0" customHeight="1">
      <c r="A1239" s="32">
        <v>1237.0</v>
      </c>
      <c r="B1239" s="4"/>
      <c r="C1239" s="4"/>
      <c r="D1239" s="8"/>
      <c r="E1239" s="8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0" customHeight="1">
      <c r="A1240" s="32">
        <v>1238.0</v>
      </c>
      <c r="B1240" s="4"/>
      <c r="C1240" s="4"/>
      <c r="D1240" s="8"/>
      <c r="E1240" s="8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0" customHeight="1">
      <c r="A1241" s="32">
        <v>1239.0</v>
      </c>
      <c r="B1241" s="4"/>
      <c r="C1241" s="4"/>
      <c r="D1241" s="8"/>
      <c r="E1241" s="8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0" customHeight="1">
      <c r="A1242" s="32">
        <v>1240.0</v>
      </c>
      <c r="B1242" s="4"/>
      <c r="C1242" s="4"/>
      <c r="D1242" s="8"/>
      <c r="E1242" s="8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0" customHeight="1">
      <c r="A1243" s="32">
        <v>1241.0</v>
      </c>
      <c r="B1243" s="4"/>
      <c r="C1243" s="4"/>
      <c r="D1243" s="8"/>
      <c r="E1243" s="8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0" customHeight="1">
      <c r="A1244" s="32">
        <v>1242.0</v>
      </c>
      <c r="B1244" s="4"/>
      <c r="C1244" s="4"/>
      <c r="D1244" s="8"/>
      <c r="E1244" s="8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0" customHeight="1">
      <c r="A1245" s="32">
        <v>1243.0</v>
      </c>
      <c r="B1245" s="4"/>
      <c r="C1245" s="4"/>
      <c r="D1245" s="8"/>
      <c r="E1245" s="8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0" customHeight="1">
      <c r="A1246" s="32">
        <v>1244.0</v>
      </c>
      <c r="B1246" s="4"/>
      <c r="C1246" s="4"/>
      <c r="D1246" s="8"/>
      <c r="E1246" s="8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0" customHeight="1">
      <c r="A1247" s="32">
        <v>1245.0</v>
      </c>
      <c r="B1247" s="4"/>
      <c r="C1247" s="4"/>
      <c r="D1247" s="8"/>
      <c r="E1247" s="8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0" customHeight="1">
      <c r="A1248" s="32">
        <v>1246.0</v>
      </c>
      <c r="B1248" s="4"/>
      <c r="C1248" s="4"/>
      <c r="D1248" s="8"/>
      <c r="E1248" s="8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0" customHeight="1">
      <c r="A1249" s="32">
        <v>1247.0</v>
      </c>
      <c r="B1249" s="4"/>
      <c r="C1249" s="4"/>
      <c r="D1249" s="8"/>
      <c r="E1249" s="8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0" customHeight="1">
      <c r="A1250" s="32">
        <v>1248.0</v>
      </c>
      <c r="B1250" s="4"/>
      <c r="C1250" s="4"/>
      <c r="D1250" s="8"/>
      <c r="E1250" s="8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0" customHeight="1">
      <c r="A1251" s="32">
        <v>1249.0</v>
      </c>
      <c r="B1251" s="4"/>
      <c r="C1251" s="4"/>
      <c r="D1251" s="8"/>
      <c r="E1251" s="8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0" customHeight="1">
      <c r="A1252" s="32">
        <v>1250.0</v>
      </c>
      <c r="B1252" s="4"/>
      <c r="C1252" s="4"/>
      <c r="D1252" s="8"/>
      <c r="E1252" s="8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0" customHeight="1">
      <c r="A1253" s="32">
        <v>1251.0</v>
      </c>
      <c r="B1253" s="4"/>
      <c r="C1253" s="4"/>
      <c r="D1253" s="8"/>
      <c r="E1253" s="8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0" customHeight="1">
      <c r="A1254" s="32">
        <v>1252.0</v>
      </c>
      <c r="B1254" s="4"/>
      <c r="C1254" s="4"/>
      <c r="D1254" s="8"/>
      <c r="E1254" s="8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0" customHeight="1">
      <c r="A1255" s="32">
        <v>1253.0</v>
      </c>
      <c r="B1255" s="4"/>
      <c r="C1255" s="4"/>
      <c r="D1255" s="8"/>
      <c r="E1255" s="8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0" customHeight="1">
      <c r="A1256" s="32">
        <v>1254.0</v>
      </c>
      <c r="B1256" s="4"/>
      <c r="C1256" s="4"/>
      <c r="D1256" s="8"/>
      <c r="E1256" s="8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0" customHeight="1">
      <c r="A1257" s="32">
        <v>1255.0</v>
      </c>
      <c r="B1257" s="4"/>
      <c r="C1257" s="4"/>
      <c r="D1257" s="8"/>
      <c r="E1257" s="8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0" customHeight="1">
      <c r="A1258" s="32">
        <v>1256.0</v>
      </c>
      <c r="B1258" s="4"/>
      <c r="C1258" s="4"/>
      <c r="D1258" s="8"/>
      <c r="E1258" s="8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0" customHeight="1">
      <c r="A1259" s="32">
        <v>1257.0</v>
      </c>
      <c r="B1259" s="4"/>
      <c r="C1259" s="4"/>
      <c r="D1259" s="8"/>
      <c r="E1259" s="8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0" customHeight="1">
      <c r="A1260" s="32">
        <v>1258.0</v>
      </c>
      <c r="B1260" s="4"/>
      <c r="C1260" s="4"/>
      <c r="D1260" s="8"/>
      <c r="E1260" s="8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0" customHeight="1">
      <c r="A1261" s="32">
        <v>1259.0</v>
      </c>
      <c r="B1261" s="4"/>
      <c r="C1261" s="4"/>
      <c r="D1261" s="8"/>
      <c r="E1261" s="8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0" customHeight="1">
      <c r="A1262" s="32">
        <v>1260.0</v>
      </c>
      <c r="B1262" s="4"/>
      <c r="C1262" s="4"/>
      <c r="D1262" s="8"/>
      <c r="E1262" s="8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0" customHeight="1">
      <c r="A1263" s="32">
        <v>1261.0</v>
      </c>
      <c r="B1263" s="4"/>
      <c r="C1263" s="4"/>
      <c r="D1263" s="8"/>
      <c r="E1263" s="8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0" customHeight="1">
      <c r="A1264" s="32">
        <v>1262.0</v>
      </c>
      <c r="B1264" s="4"/>
      <c r="C1264" s="4"/>
      <c r="D1264" s="8"/>
      <c r="E1264" s="8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0" customHeight="1">
      <c r="A1265" s="32">
        <v>1263.0</v>
      </c>
      <c r="B1265" s="4"/>
      <c r="C1265" s="4"/>
      <c r="D1265" s="8"/>
      <c r="E1265" s="8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0" customHeight="1">
      <c r="A1266" s="32">
        <v>1264.0</v>
      </c>
      <c r="B1266" s="4"/>
      <c r="C1266" s="4"/>
      <c r="D1266" s="8"/>
      <c r="E1266" s="8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0" customHeight="1">
      <c r="A1267" s="32">
        <v>1265.0</v>
      </c>
      <c r="B1267" s="4"/>
      <c r="C1267" s="4"/>
      <c r="D1267" s="8"/>
      <c r="E1267" s="8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0" customHeight="1">
      <c r="A1268" s="32">
        <v>1266.0</v>
      </c>
      <c r="B1268" s="4"/>
      <c r="C1268" s="4"/>
      <c r="D1268" s="8"/>
      <c r="E1268" s="8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0" customHeight="1">
      <c r="A1269" s="32">
        <v>1267.0</v>
      </c>
      <c r="B1269" s="4"/>
      <c r="C1269" s="4"/>
      <c r="D1269" s="8"/>
      <c r="E1269" s="8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0" customHeight="1">
      <c r="A1270" s="32">
        <v>1268.0</v>
      </c>
      <c r="B1270" s="4"/>
      <c r="C1270" s="4"/>
      <c r="D1270" s="8"/>
      <c r="E1270" s="8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0" customHeight="1">
      <c r="A1271" s="32">
        <v>1269.0</v>
      </c>
      <c r="B1271" s="4"/>
      <c r="C1271" s="4"/>
      <c r="D1271" s="8"/>
      <c r="E1271" s="8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0" customHeight="1">
      <c r="A1272" s="32">
        <v>1270.0</v>
      </c>
      <c r="B1272" s="4"/>
      <c r="C1272" s="4"/>
      <c r="D1272" s="8"/>
      <c r="E1272" s="8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0" customHeight="1">
      <c r="A1273" s="32">
        <v>1271.0</v>
      </c>
      <c r="B1273" s="4"/>
      <c r="C1273" s="4"/>
      <c r="D1273" s="8"/>
      <c r="E1273" s="8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0" customHeight="1">
      <c r="A1274" s="32">
        <v>1272.0</v>
      </c>
      <c r="B1274" s="4"/>
      <c r="C1274" s="4"/>
      <c r="D1274" s="8"/>
      <c r="E1274" s="8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0" customHeight="1">
      <c r="A1275" s="32">
        <v>1273.0</v>
      </c>
      <c r="B1275" s="4"/>
      <c r="C1275" s="4"/>
      <c r="D1275" s="8"/>
      <c r="E1275" s="8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0" customHeight="1">
      <c r="A1276" s="32">
        <v>1274.0</v>
      </c>
      <c r="B1276" s="4"/>
      <c r="C1276" s="4"/>
      <c r="D1276" s="8"/>
      <c r="E1276" s="8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0" customHeight="1">
      <c r="A1277" s="32">
        <v>1275.0</v>
      </c>
      <c r="B1277" s="4"/>
      <c r="C1277" s="4"/>
      <c r="D1277" s="8"/>
      <c r="E1277" s="8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0" customHeight="1">
      <c r="A1278" s="32">
        <v>1276.0</v>
      </c>
      <c r="B1278" s="4"/>
      <c r="C1278" s="4"/>
      <c r="D1278" s="8"/>
      <c r="E1278" s="8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0" customHeight="1">
      <c r="A1279" s="32">
        <v>1277.0</v>
      </c>
      <c r="B1279" s="4"/>
      <c r="C1279" s="4"/>
      <c r="D1279" s="8"/>
      <c r="E1279" s="8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0" customHeight="1">
      <c r="A1280" s="32">
        <v>1278.0</v>
      </c>
      <c r="B1280" s="4"/>
      <c r="C1280" s="4"/>
      <c r="D1280" s="8"/>
      <c r="E1280" s="8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0" customHeight="1">
      <c r="A1281" s="32">
        <v>1279.0</v>
      </c>
      <c r="B1281" s="4"/>
      <c r="C1281" s="4"/>
      <c r="D1281" s="8"/>
      <c r="E1281" s="8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0" customHeight="1">
      <c r="A1282" s="32">
        <v>1280.0</v>
      </c>
      <c r="B1282" s="4"/>
      <c r="C1282" s="4"/>
      <c r="D1282" s="8"/>
      <c r="E1282" s="8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0" customHeight="1">
      <c r="A1283" s="32">
        <v>1281.0</v>
      </c>
      <c r="B1283" s="4"/>
      <c r="C1283" s="4"/>
      <c r="D1283" s="8"/>
      <c r="E1283" s="8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0" customHeight="1">
      <c r="A1284" s="32">
        <v>1282.0</v>
      </c>
      <c r="B1284" s="4"/>
      <c r="C1284" s="4"/>
      <c r="D1284" s="8"/>
      <c r="E1284" s="8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0" customHeight="1">
      <c r="A1285" s="32">
        <v>1283.0</v>
      </c>
      <c r="B1285" s="4"/>
      <c r="C1285" s="4"/>
      <c r="D1285" s="8"/>
      <c r="E1285" s="8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0" customHeight="1">
      <c r="A1286" s="32">
        <v>1284.0</v>
      </c>
      <c r="B1286" s="4"/>
      <c r="C1286" s="4"/>
      <c r="D1286" s="8"/>
      <c r="E1286" s="8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0" customHeight="1">
      <c r="A1287" s="32">
        <v>1285.0</v>
      </c>
      <c r="B1287" s="4"/>
      <c r="C1287" s="4"/>
      <c r="D1287" s="8"/>
      <c r="E1287" s="8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0" customHeight="1">
      <c r="A1288" s="32">
        <v>1286.0</v>
      </c>
      <c r="B1288" s="4"/>
      <c r="C1288" s="4"/>
      <c r="D1288" s="8"/>
      <c r="E1288" s="8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0" customHeight="1">
      <c r="A1289" s="32">
        <v>1287.0</v>
      </c>
      <c r="B1289" s="4"/>
      <c r="C1289" s="4"/>
      <c r="D1289" s="8"/>
      <c r="E1289" s="8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0" customHeight="1">
      <c r="A1290" s="32">
        <v>1288.0</v>
      </c>
      <c r="B1290" s="4"/>
      <c r="C1290" s="4"/>
      <c r="D1290" s="8"/>
      <c r="E1290" s="8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0" customHeight="1">
      <c r="A1291" s="32">
        <v>1289.0</v>
      </c>
      <c r="B1291" s="4"/>
      <c r="C1291" s="4"/>
      <c r="D1291" s="8"/>
      <c r="E1291" s="8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0" customHeight="1">
      <c r="A1292" s="32">
        <v>1290.0</v>
      </c>
      <c r="B1292" s="4"/>
      <c r="C1292" s="4"/>
      <c r="D1292" s="8"/>
      <c r="E1292" s="8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0" customHeight="1">
      <c r="A1293" s="32">
        <v>1291.0</v>
      </c>
      <c r="B1293" s="4"/>
      <c r="C1293" s="4"/>
      <c r="D1293" s="8"/>
      <c r="E1293" s="8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0" customHeight="1">
      <c r="A1294" s="32">
        <v>1292.0</v>
      </c>
      <c r="B1294" s="4"/>
      <c r="C1294" s="4"/>
      <c r="D1294" s="8"/>
      <c r="E1294" s="8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0" customHeight="1">
      <c r="A1295" s="32">
        <v>1293.0</v>
      </c>
      <c r="B1295" s="4"/>
      <c r="C1295" s="4"/>
      <c r="D1295" s="8"/>
      <c r="E1295" s="8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0" customHeight="1">
      <c r="A1296" s="32">
        <v>1294.0</v>
      </c>
      <c r="B1296" s="4"/>
      <c r="C1296" s="4"/>
      <c r="D1296" s="8"/>
      <c r="E1296" s="8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0" customHeight="1">
      <c r="A1297" s="32">
        <v>1295.0</v>
      </c>
      <c r="B1297" s="4"/>
      <c r="C1297" s="4"/>
      <c r="D1297" s="8"/>
      <c r="E1297" s="8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0" customHeight="1">
      <c r="A1298" s="32">
        <v>1296.0</v>
      </c>
      <c r="B1298" s="4"/>
      <c r="C1298" s="4"/>
      <c r="D1298" s="8"/>
      <c r="E1298" s="8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0" customHeight="1">
      <c r="A1299" s="32">
        <v>1297.0</v>
      </c>
      <c r="B1299" s="4"/>
      <c r="C1299" s="4"/>
      <c r="D1299" s="8"/>
      <c r="E1299" s="8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0" customHeight="1">
      <c r="A1300" s="32">
        <v>1298.0</v>
      </c>
      <c r="B1300" s="4"/>
      <c r="C1300" s="4"/>
      <c r="D1300" s="8"/>
      <c r="E1300" s="8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0" customHeight="1">
      <c r="A1301" s="32">
        <v>1299.0</v>
      </c>
      <c r="B1301" s="4"/>
      <c r="C1301" s="4"/>
      <c r="D1301" s="8"/>
      <c r="E1301" s="8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0" customHeight="1">
      <c r="A1302" s="32">
        <v>1300.0</v>
      </c>
      <c r="B1302" s="4"/>
      <c r="C1302" s="4"/>
      <c r="D1302" s="8"/>
      <c r="E1302" s="8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0" customHeight="1">
      <c r="A1303" s="32">
        <v>1301.0</v>
      </c>
      <c r="B1303" s="4"/>
      <c r="C1303" s="4"/>
      <c r="D1303" s="8"/>
      <c r="E1303" s="8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0" customHeight="1">
      <c r="A1304" s="32">
        <v>1302.0</v>
      </c>
      <c r="B1304" s="4"/>
      <c r="C1304" s="4"/>
      <c r="D1304" s="8"/>
      <c r="E1304" s="8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0" customHeight="1">
      <c r="A1305" s="32">
        <v>1303.0</v>
      </c>
      <c r="B1305" s="4"/>
      <c r="C1305" s="4"/>
      <c r="D1305" s="8"/>
      <c r="E1305" s="8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0" customHeight="1">
      <c r="A1306" s="32">
        <v>1304.0</v>
      </c>
      <c r="B1306" s="4"/>
      <c r="C1306" s="4"/>
      <c r="D1306" s="8"/>
      <c r="E1306" s="8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0" customHeight="1">
      <c r="A1307" s="32">
        <v>1305.0</v>
      </c>
      <c r="B1307" s="4"/>
      <c r="C1307" s="4"/>
      <c r="D1307" s="8"/>
      <c r="E1307" s="8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0" customHeight="1">
      <c r="A1308" s="32">
        <v>1306.0</v>
      </c>
      <c r="B1308" s="4"/>
      <c r="C1308" s="4"/>
      <c r="D1308" s="8"/>
      <c r="E1308" s="8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0" customHeight="1">
      <c r="A1309" s="32">
        <v>1307.0</v>
      </c>
      <c r="B1309" s="4"/>
      <c r="C1309" s="4"/>
      <c r="D1309" s="8"/>
      <c r="E1309" s="8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0" customHeight="1">
      <c r="A1310" s="32">
        <v>1308.0</v>
      </c>
      <c r="B1310" s="4"/>
      <c r="C1310" s="4"/>
      <c r="D1310" s="8"/>
      <c r="E1310" s="8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0" customHeight="1">
      <c r="A1311" s="32">
        <v>1309.0</v>
      </c>
      <c r="B1311" s="4"/>
      <c r="C1311" s="4"/>
      <c r="D1311" s="8"/>
      <c r="E1311" s="8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0" customHeight="1">
      <c r="A1312" s="32">
        <v>1310.0</v>
      </c>
      <c r="B1312" s="4"/>
      <c r="C1312" s="4"/>
      <c r="D1312" s="8"/>
      <c r="E1312" s="8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0" customHeight="1">
      <c r="A1313" s="32">
        <v>1311.0</v>
      </c>
      <c r="B1313" s="4"/>
      <c r="C1313" s="4"/>
      <c r="D1313" s="8"/>
      <c r="E1313" s="8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0" customHeight="1">
      <c r="A1314" s="32">
        <v>1312.0</v>
      </c>
      <c r="B1314" s="4"/>
      <c r="C1314" s="4"/>
      <c r="D1314" s="8"/>
      <c r="E1314" s="8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0" customHeight="1">
      <c r="A1315" s="32">
        <v>1313.0</v>
      </c>
      <c r="B1315" s="4"/>
      <c r="C1315" s="4"/>
      <c r="D1315" s="8"/>
      <c r="E1315" s="8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0" customHeight="1">
      <c r="A1316" s="32">
        <v>1314.0</v>
      </c>
      <c r="B1316" s="4"/>
      <c r="C1316" s="4"/>
      <c r="D1316" s="8"/>
      <c r="E1316" s="8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0" customHeight="1">
      <c r="A1317" s="32">
        <v>1315.0</v>
      </c>
      <c r="B1317" s="4"/>
      <c r="C1317" s="4"/>
      <c r="D1317" s="8"/>
      <c r="E1317" s="8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0" customHeight="1">
      <c r="A1318" s="32">
        <v>1316.0</v>
      </c>
      <c r="B1318" s="4"/>
      <c r="C1318" s="4"/>
      <c r="D1318" s="8"/>
      <c r="E1318" s="8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0" customHeight="1">
      <c r="A1319" s="32">
        <v>1317.0</v>
      </c>
      <c r="B1319" s="4"/>
      <c r="C1319" s="4"/>
      <c r="D1319" s="8"/>
      <c r="E1319" s="8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0" customHeight="1">
      <c r="A1320" s="32">
        <v>1318.0</v>
      </c>
      <c r="B1320" s="4"/>
      <c r="C1320" s="4"/>
      <c r="D1320" s="8"/>
      <c r="E1320" s="8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0" customHeight="1">
      <c r="A1321" s="32">
        <v>1319.0</v>
      </c>
      <c r="B1321" s="4"/>
      <c r="C1321" s="4"/>
      <c r="D1321" s="8"/>
      <c r="E1321" s="8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0" customHeight="1">
      <c r="A1322" s="32">
        <v>1320.0</v>
      </c>
      <c r="B1322" s="4"/>
      <c r="C1322" s="4"/>
      <c r="D1322" s="8"/>
      <c r="E1322" s="8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0" customHeight="1">
      <c r="A1323" s="32">
        <v>1321.0</v>
      </c>
      <c r="B1323" s="4"/>
      <c r="C1323" s="4"/>
      <c r="D1323" s="8"/>
      <c r="E1323" s="8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0" customHeight="1">
      <c r="A1324" s="32">
        <v>1322.0</v>
      </c>
      <c r="B1324" s="4"/>
      <c r="C1324" s="4"/>
      <c r="D1324" s="8"/>
      <c r="E1324" s="8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0" customHeight="1">
      <c r="A1325" s="32">
        <v>1323.0</v>
      </c>
      <c r="B1325" s="4"/>
      <c r="C1325" s="4"/>
      <c r="D1325" s="8"/>
      <c r="E1325" s="8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0" customHeight="1">
      <c r="A1326" s="32">
        <v>1324.0</v>
      </c>
      <c r="B1326" s="4"/>
      <c r="C1326" s="4"/>
      <c r="D1326" s="8"/>
      <c r="E1326" s="8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0" customHeight="1">
      <c r="A1327" s="32">
        <v>1325.0</v>
      </c>
      <c r="B1327" s="4"/>
      <c r="C1327" s="4"/>
      <c r="D1327" s="8"/>
      <c r="E1327" s="8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0" customHeight="1">
      <c r="A1328" s="32">
        <v>1326.0</v>
      </c>
      <c r="B1328" s="4"/>
      <c r="C1328" s="4"/>
      <c r="D1328" s="8"/>
      <c r="E1328" s="8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0" customHeight="1">
      <c r="A1329" s="32">
        <v>1327.0</v>
      </c>
      <c r="B1329" s="4"/>
      <c r="C1329" s="4"/>
      <c r="D1329" s="8"/>
      <c r="E1329" s="8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0" customHeight="1">
      <c r="A1330" s="32">
        <v>1328.0</v>
      </c>
      <c r="B1330" s="4"/>
      <c r="C1330" s="4"/>
      <c r="D1330" s="8"/>
      <c r="E1330" s="8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0" customHeight="1">
      <c r="A1331" s="32">
        <v>1329.0</v>
      </c>
      <c r="B1331" s="4"/>
      <c r="C1331" s="4"/>
      <c r="D1331" s="8"/>
      <c r="E1331" s="8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0" customHeight="1">
      <c r="A1332" s="32">
        <v>1330.0</v>
      </c>
      <c r="B1332" s="4"/>
      <c r="C1332" s="4"/>
      <c r="D1332" s="8"/>
      <c r="E1332" s="8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0" customHeight="1">
      <c r="A1333" s="32">
        <v>1331.0</v>
      </c>
      <c r="B1333" s="4"/>
      <c r="C1333" s="4"/>
      <c r="D1333" s="8"/>
      <c r="E1333" s="8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0" customHeight="1">
      <c r="A1334" s="32">
        <v>1332.0</v>
      </c>
      <c r="B1334" s="4"/>
      <c r="C1334" s="4"/>
      <c r="D1334" s="8"/>
      <c r="E1334" s="8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0" customHeight="1">
      <c r="A1335" s="32">
        <v>1333.0</v>
      </c>
      <c r="B1335" s="4"/>
      <c r="C1335" s="4"/>
      <c r="D1335" s="8"/>
      <c r="E1335" s="8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0" customHeight="1">
      <c r="A1336" s="32">
        <v>1334.0</v>
      </c>
      <c r="B1336" s="4"/>
      <c r="C1336" s="4"/>
      <c r="D1336" s="8"/>
      <c r="E1336" s="8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0" customHeight="1">
      <c r="A1337" s="32">
        <v>1335.0</v>
      </c>
      <c r="B1337" s="4"/>
      <c r="C1337" s="4"/>
      <c r="D1337" s="8"/>
      <c r="E1337" s="8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0" customHeight="1">
      <c r="A1338" s="32">
        <v>1336.0</v>
      </c>
      <c r="B1338" s="4"/>
      <c r="C1338" s="4"/>
      <c r="D1338" s="8"/>
      <c r="E1338" s="8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0" customHeight="1">
      <c r="A1339" s="32">
        <v>1337.0</v>
      </c>
      <c r="B1339" s="4"/>
      <c r="C1339" s="4"/>
      <c r="D1339" s="8"/>
      <c r="E1339" s="8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0" customHeight="1">
      <c r="A1340" s="32">
        <v>1338.0</v>
      </c>
      <c r="B1340" s="4"/>
      <c r="C1340" s="4"/>
      <c r="D1340" s="8"/>
      <c r="E1340" s="8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0" customHeight="1">
      <c r="A1341" s="32">
        <v>1339.0</v>
      </c>
      <c r="B1341" s="4"/>
      <c r="C1341" s="4"/>
      <c r="D1341" s="8"/>
      <c r="E1341" s="8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0" customHeight="1">
      <c r="A1342" s="32">
        <v>1340.0</v>
      </c>
      <c r="B1342" s="4"/>
      <c r="C1342" s="4"/>
      <c r="D1342" s="8"/>
      <c r="E1342" s="8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0" customHeight="1">
      <c r="A1343" s="32">
        <v>1341.0</v>
      </c>
      <c r="B1343" s="4"/>
      <c r="C1343" s="4"/>
      <c r="D1343" s="8"/>
      <c r="E1343" s="8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0" customHeight="1">
      <c r="A1344" s="32">
        <v>1342.0</v>
      </c>
      <c r="B1344" s="4"/>
      <c r="C1344" s="4"/>
      <c r="D1344" s="8"/>
      <c r="E1344" s="8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0" customHeight="1">
      <c r="A1345" s="32">
        <v>1343.0</v>
      </c>
      <c r="B1345" s="4"/>
      <c r="C1345" s="4"/>
      <c r="D1345" s="8"/>
      <c r="E1345" s="8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0" customHeight="1">
      <c r="A1346" s="32">
        <v>1344.0</v>
      </c>
      <c r="B1346" s="4"/>
      <c r="C1346" s="4"/>
      <c r="D1346" s="8"/>
      <c r="E1346" s="8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0" customHeight="1">
      <c r="A1347" s="32">
        <v>1345.0</v>
      </c>
      <c r="B1347" s="4"/>
      <c r="C1347" s="4"/>
      <c r="D1347" s="8"/>
      <c r="E1347" s="8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0" customHeight="1">
      <c r="A1348" s="32">
        <v>1346.0</v>
      </c>
      <c r="B1348" s="4"/>
      <c r="C1348" s="4"/>
      <c r="D1348" s="8"/>
      <c r="E1348" s="8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0" customHeight="1">
      <c r="A1349" s="32">
        <v>1347.0</v>
      </c>
      <c r="B1349" s="4"/>
      <c r="C1349" s="4"/>
      <c r="D1349" s="8"/>
      <c r="E1349" s="8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0" customHeight="1">
      <c r="A1350" s="32">
        <v>1348.0</v>
      </c>
      <c r="B1350" s="4"/>
      <c r="C1350" s="4"/>
      <c r="D1350" s="8"/>
      <c r="E1350" s="8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0" customHeight="1">
      <c r="A1351" s="32">
        <v>1349.0</v>
      </c>
      <c r="B1351" s="4"/>
      <c r="C1351" s="4"/>
      <c r="D1351" s="8"/>
      <c r="E1351" s="8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0" customHeight="1">
      <c r="A1352" s="32">
        <v>1350.0</v>
      </c>
      <c r="B1352" s="4"/>
      <c r="C1352" s="4"/>
      <c r="D1352" s="8"/>
      <c r="E1352" s="8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0" customHeight="1">
      <c r="A1353" s="32">
        <v>1351.0</v>
      </c>
      <c r="B1353" s="4"/>
      <c r="C1353" s="4"/>
      <c r="D1353" s="8"/>
      <c r="E1353" s="8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0" customHeight="1">
      <c r="A1354" s="32">
        <v>1352.0</v>
      </c>
      <c r="B1354" s="4"/>
      <c r="C1354" s="4"/>
      <c r="D1354" s="8"/>
      <c r="E1354" s="8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0" customHeight="1">
      <c r="A1355" s="32">
        <v>1353.0</v>
      </c>
      <c r="B1355" s="4"/>
      <c r="C1355" s="4"/>
      <c r="D1355" s="8"/>
      <c r="E1355" s="8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0" customHeight="1">
      <c r="A1356" s="32">
        <v>1354.0</v>
      </c>
      <c r="B1356" s="4"/>
      <c r="C1356" s="4"/>
      <c r="D1356" s="8"/>
      <c r="E1356" s="8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0" customHeight="1">
      <c r="A1357" s="32">
        <v>1355.0</v>
      </c>
      <c r="B1357" s="4"/>
      <c r="C1357" s="4"/>
      <c r="D1357" s="8"/>
      <c r="E1357" s="8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0" customHeight="1">
      <c r="A1358" s="32">
        <v>1356.0</v>
      </c>
      <c r="B1358" s="4"/>
      <c r="C1358" s="4"/>
      <c r="D1358" s="8"/>
      <c r="E1358" s="8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0" customHeight="1">
      <c r="A1359" s="32">
        <v>1357.0</v>
      </c>
      <c r="B1359" s="4"/>
      <c r="C1359" s="4"/>
      <c r="D1359" s="8"/>
      <c r="E1359" s="8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0" customHeight="1">
      <c r="A1360" s="32">
        <v>1358.0</v>
      </c>
      <c r="B1360" s="4"/>
      <c r="C1360" s="4"/>
      <c r="D1360" s="8"/>
      <c r="E1360" s="8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0" customHeight="1">
      <c r="A1361" s="32">
        <v>1359.0</v>
      </c>
      <c r="B1361" s="4"/>
      <c r="C1361" s="4"/>
      <c r="D1361" s="8"/>
      <c r="E1361" s="8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0" customHeight="1">
      <c r="A1362" s="32">
        <v>1360.0</v>
      </c>
      <c r="B1362" s="4"/>
      <c r="C1362" s="4"/>
      <c r="D1362" s="8"/>
      <c r="E1362" s="8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0" customHeight="1">
      <c r="A1363" s="32">
        <v>1361.0</v>
      </c>
      <c r="B1363" s="4"/>
      <c r="C1363" s="4"/>
      <c r="D1363" s="8"/>
      <c r="E1363" s="8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0" customHeight="1">
      <c r="A1364" s="32">
        <v>1362.0</v>
      </c>
      <c r="B1364" s="4"/>
      <c r="C1364" s="4"/>
      <c r="D1364" s="8"/>
      <c r="E1364" s="8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0" customHeight="1">
      <c r="A1365" s="32">
        <v>1363.0</v>
      </c>
      <c r="B1365" s="4"/>
      <c r="C1365" s="4"/>
      <c r="D1365" s="8"/>
      <c r="E1365" s="8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0" customHeight="1">
      <c r="A1366" s="32">
        <v>1364.0</v>
      </c>
      <c r="B1366" s="4"/>
      <c r="C1366" s="4"/>
      <c r="D1366" s="8"/>
      <c r="E1366" s="8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0" customHeight="1">
      <c r="A1367" s="32">
        <v>1365.0</v>
      </c>
      <c r="B1367" s="4"/>
      <c r="C1367" s="4"/>
      <c r="D1367" s="8"/>
      <c r="E1367" s="8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0" customHeight="1">
      <c r="A1368" s="32">
        <v>1366.0</v>
      </c>
      <c r="B1368" s="4"/>
      <c r="C1368" s="4"/>
      <c r="D1368" s="8"/>
      <c r="E1368" s="8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0" customHeight="1">
      <c r="A1369" s="32">
        <v>1367.0</v>
      </c>
      <c r="B1369" s="4"/>
      <c r="C1369" s="4"/>
      <c r="D1369" s="8"/>
      <c r="E1369" s="8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0" customHeight="1">
      <c r="A1370" s="32">
        <v>1368.0</v>
      </c>
      <c r="B1370" s="4"/>
      <c r="C1370" s="4"/>
      <c r="D1370" s="8"/>
      <c r="E1370" s="8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0" customHeight="1">
      <c r="A1371" s="32">
        <v>1369.0</v>
      </c>
      <c r="B1371" s="4"/>
      <c r="C1371" s="4"/>
      <c r="D1371" s="8"/>
      <c r="E1371" s="8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0" customHeight="1">
      <c r="A1372" s="32">
        <v>1370.0</v>
      </c>
      <c r="B1372" s="4"/>
      <c r="C1372" s="4"/>
      <c r="D1372" s="8"/>
      <c r="E1372" s="8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0" customHeight="1">
      <c r="A1373" s="32">
        <v>1371.0</v>
      </c>
      <c r="B1373" s="4"/>
      <c r="C1373" s="4"/>
      <c r="D1373" s="8"/>
      <c r="E1373" s="8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0" customHeight="1">
      <c r="A1374" s="32">
        <v>1372.0</v>
      </c>
      <c r="B1374" s="4"/>
      <c r="C1374" s="4"/>
      <c r="D1374" s="8"/>
      <c r="E1374" s="8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0" customHeight="1">
      <c r="A1375" s="32">
        <v>1373.0</v>
      </c>
      <c r="B1375" s="4"/>
      <c r="C1375" s="4"/>
      <c r="D1375" s="8"/>
      <c r="E1375" s="8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0" customHeight="1">
      <c r="A1376" s="32">
        <v>1374.0</v>
      </c>
      <c r="B1376" s="4"/>
      <c r="C1376" s="4"/>
      <c r="D1376" s="8"/>
      <c r="E1376" s="8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0" customHeight="1">
      <c r="A1377" s="32">
        <v>1375.0</v>
      </c>
      <c r="B1377" s="4"/>
      <c r="C1377" s="4"/>
      <c r="D1377" s="8"/>
      <c r="E1377" s="8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0" customHeight="1">
      <c r="A1378" s="32">
        <v>1376.0</v>
      </c>
      <c r="B1378" s="4"/>
      <c r="C1378" s="4"/>
      <c r="D1378" s="8"/>
      <c r="E1378" s="8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0" customHeight="1">
      <c r="A1379" s="32">
        <v>1377.0</v>
      </c>
      <c r="B1379" s="4"/>
      <c r="C1379" s="4"/>
      <c r="D1379" s="8"/>
      <c r="E1379" s="8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0" customHeight="1">
      <c r="A1380" s="32">
        <v>1378.0</v>
      </c>
      <c r="B1380" s="4"/>
      <c r="C1380" s="4"/>
      <c r="D1380" s="8"/>
      <c r="E1380" s="8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0" customHeight="1">
      <c r="A1381" s="32">
        <v>1379.0</v>
      </c>
      <c r="B1381" s="4"/>
      <c r="C1381" s="4"/>
      <c r="D1381" s="8"/>
      <c r="E1381" s="8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0" customHeight="1">
      <c r="A1382" s="32">
        <v>1380.0</v>
      </c>
      <c r="B1382" s="4"/>
      <c r="C1382" s="4"/>
      <c r="D1382" s="8"/>
      <c r="E1382" s="8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0" customHeight="1">
      <c r="A1383" s="32">
        <v>1381.0</v>
      </c>
      <c r="B1383" s="4"/>
      <c r="C1383" s="4"/>
      <c r="D1383" s="8"/>
      <c r="E1383" s="8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0" customHeight="1">
      <c r="A1384" s="32">
        <v>1382.0</v>
      </c>
      <c r="B1384" s="4"/>
      <c r="C1384" s="4"/>
      <c r="D1384" s="8"/>
      <c r="E1384" s="8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0" customHeight="1">
      <c r="A1385" s="32">
        <v>1383.0</v>
      </c>
      <c r="B1385" s="4"/>
      <c r="C1385" s="4"/>
      <c r="D1385" s="8"/>
      <c r="E1385" s="8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0" customHeight="1">
      <c r="A1386" s="32">
        <v>1384.0</v>
      </c>
      <c r="B1386" s="4"/>
      <c r="C1386" s="4"/>
      <c r="D1386" s="8"/>
      <c r="E1386" s="8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0" customHeight="1">
      <c r="A1387" s="32">
        <v>1385.0</v>
      </c>
      <c r="B1387" s="4"/>
      <c r="C1387" s="4"/>
      <c r="D1387" s="8"/>
      <c r="E1387" s="8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0" customHeight="1">
      <c r="A1388" s="32">
        <v>1386.0</v>
      </c>
      <c r="B1388" s="4"/>
      <c r="C1388" s="4"/>
      <c r="D1388" s="8"/>
      <c r="E1388" s="8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0" customHeight="1">
      <c r="A1389" s="32">
        <v>1387.0</v>
      </c>
      <c r="B1389" s="4"/>
      <c r="C1389" s="4"/>
      <c r="D1389" s="8"/>
      <c r="E1389" s="8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0" customHeight="1">
      <c r="A1390" s="32">
        <v>1388.0</v>
      </c>
      <c r="B1390" s="4"/>
      <c r="C1390" s="4"/>
      <c r="D1390" s="8"/>
      <c r="E1390" s="8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0" customHeight="1">
      <c r="A1391" s="32">
        <v>1389.0</v>
      </c>
      <c r="B1391" s="4"/>
      <c r="C1391" s="4"/>
      <c r="D1391" s="8"/>
      <c r="E1391" s="8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0" customHeight="1">
      <c r="A1392" s="32">
        <v>1390.0</v>
      </c>
      <c r="B1392" s="4"/>
      <c r="C1392" s="4"/>
      <c r="D1392" s="8"/>
      <c r="E1392" s="8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0" customHeight="1">
      <c r="A1393" s="32">
        <v>1391.0</v>
      </c>
      <c r="B1393" s="4"/>
      <c r="C1393" s="4"/>
      <c r="D1393" s="8"/>
      <c r="E1393" s="8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0" customHeight="1">
      <c r="A1394" s="32">
        <v>1392.0</v>
      </c>
      <c r="B1394" s="4"/>
      <c r="C1394" s="4"/>
      <c r="D1394" s="8"/>
      <c r="E1394" s="8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0" customHeight="1">
      <c r="A1395" s="32">
        <v>1393.0</v>
      </c>
      <c r="B1395" s="4"/>
      <c r="C1395" s="4"/>
      <c r="D1395" s="8"/>
      <c r="E1395" s="8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0" customHeight="1">
      <c r="A1396" s="32">
        <v>1394.0</v>
      </c>
      <c r="B1396" s="4"/>
      <c r="C1396" s="4"/>
      <c r="D1396" s="8"/>
      <c r="E1396" s="8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0" customHeight="1">
      <c r="A1397" s="32">
        <v>1395.0</v>
      </c>
      <c r="B1397" s="4"/>
      <c r="C1397" s="4"/>
      <c r="D1397" s="8"/>
      <c r="E1397" s="8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0" customHeight="1">
      <c r="A1398" s="32">
        <v>1396.0</v>
      </c>
      <c r="B1398" s="4"/>
      <c r="C1398" s="4"/>
      <c r="D1398" s="8"/>
      <c r="E1398" s="8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0" customHeight="1">
      <c r="A1399" s="32">
        <v>1397.0</v>
      </c>
      <c r="B1399" s="4"/>
      <c r="C1399" s="4"/>
      <c r="D1399" s="8"/>
      <c r="E1399" s="8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0" customHeight="1">
      <c r="A1400" s="32">
        <v>1398.0</v>
      </c>
      <c r="B1400" s="4"/>
      <c r="C1400" s="4"/>
      <c r="D1400" s="8"/>
      <c r="E1400" s="8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0" customHeight="1">
      <c r="A1401" s="32">
        <v>1399.0</v>
      </c>
      <c r="B1401" s="4"/>
      <c r="C1401" s="4"/>
      <c r="D1401" s="8"/>
      <c r="E1401" s="8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0" customHeight="1">
      <c r="A1402" s="32">
        <v>1400.0</v>
      </c>
      <c r="B1402" s="4"/>
      <c r="C1402" s="4"/>
      <c r="D1402" s="8"/>
      <c r="E1402" s="8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0" customHeight="1">
      <c r="A1403" s="32">
        <v>1401.0</v>
      </c>
      <c r="B1403" s="4"/>
      <c r="C1403" s="4"/>
      <c r="D1403" s="8"/>
      <c r="E1403" s="8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0" customHeight="1">
      <c r="A1404" s="32">
        <v>1402.0</v>
      </c>
      <c r="B1404" s="4"/>
      <c r="C1404" s="4"/>
      <c r="D1404" s="8"/>
      <c r="E1404" s="8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0" customHeight="1">
      <c r="A1405" s="32">
        <v>1403.0</v>
      </c>
      <c r="B1405" s="4"/>
      <c r="C1405" s="4"/>
      <c r="D1405" s="8"/>
      <c r="E1405" s="8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0" customHeight="1">
      <c r="A1406" s="32">
        <v>1404.0</v>
      </c>
      <c r="B1406" s="4"/>
      <c r="C1406" s="4"/>
      <c r="D1406" s="8"/>
      <c r="E1406" s="8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0" customHeight="1">
      <c r="A1407" s="32">
        <v>1405.0</v>
      </c>
      <c r="B1407" s="4"/>
      <c r="C1407" s="4"/>
      <c r="D1407" s="8"/>
      <c r="E1407" s="8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0" customHeight="1">
      <c r="A1408" s="32">
        <v>1406.0</v>
      </c>
      <c r="B1408" s="4"/>
      <c r="C1408" s="4"/>
      <c r="D1408" s="8"/>
      <c r="E1408" s="8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0" customHeight="1">
      <c r="A1409" s="32">
        <v>1407.0</v>
      </c>
      <c r="B1409" s="4"/>
      <c r="C1409" s="4"/>
      <c r="D1409" s="8"/>
      <c r="E1409" s="8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0" customHeight="1">
      <c r="A1410" s="32">
        <v>1408.0</v>
      </c>
      <c r="B1410" s="4"/>
      <c r="C1410" s="4"/>
      <c r="D1410" s="8"/>
      <c r="E1410" s="8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0" customHeight="1">
      <c r="A1411" s="32">
        <v>1409.0</v>
      </c>
      <c r="B1411" s="4"/>
      <c r="C1411" s="4"/>
      <c r="D1411" s="8"/>
      <c r="E1411" s="8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0" customHeight="1">
      <c r="A1412" s="32">
        <v>1410.0</v>
      </c>
      <c r="B1412" s="4"/>
      <c r="C1412" s="4"/>
      <c r="D1412" s="8"/>
      <c r="E1412" s="8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0" customHeight="1">
      <c r="A1413" s="32">
        <v>1411.0</v>
      </c>
      <c r="B1413" s="4"/>
      <c r="C1413" s="4"/>
      <c r="D1413" s="8"/>
      <c r="E1413" s="8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0" customHeight="1">
      <c r="A1414" s="32">
        <v>1412.0</v>
      </c>
      <c r="B1414" s="4"/>
      <c r="C1414" s="4"/>
      <c r="D1414" s="8"/>
      <c r="E1414" s="8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0" customHeight="1">
      <c r="A1415" s="32">
        <v>1413.0</v>
      </c>
      <c r="B1415" s="4"/>
      <c r="C1415" s="4"/>
      <c r="D1415" s="8"/>
      <c r="E1415" s="8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0" customHeight="1">
      <c r="A1416" s="32">
        <v>1414.0</v>
      </c>
      <c r="B1416" s="4"/>
      <c r="C1416" s="4"/>
      <c r="D1416" s="8"/>
      <c r="E1416" s="8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0" customHeight="1">
      <c r="A1417" s="32">
        <v>1415.0</v>
      </c>
      <c r="B1417" s="4"/>
      <c r="C1417" s="4"/>
      <c r="D1417" s="8"/>
      <c r="E1417" s="8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0" customHeight="1">
      <c r="A1418" s="32">
        <v>1416.0</v>
      </c>
      <c r="B1418" s="4"/>
      <c r="C1418" s="4"/>
      <c r="D1418" s="8"/>
      <c r="E1418" s="8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0" customHeight="1">
      <c r="A1419" s="32">
        <v>1417.0</v>
      </c>
      <c r="B1419" s="4"/>
      <c r="C1419" s="4"/>
      <c r="D1419" s="8"/>
      <c r="E1419" s="8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0" customHeight="1">
      <c r="A1420" s="32">
        <v>1418.0</v>
      </c>
      <c r="B1420" s="4"/>
      <c r="C1420" s="4"/>
      <c r="D1420" s="8"/>
      <c r="E1420" s="8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0" customHeight="1">
      <c r="A1421" s="32">
        <v>1419.0</v>
      </c>
      <c r="B1421" s="4"/>
      <c r="C1421" s="4"/>
      <c r="D1421" s="8"/>
      <c r="E1421" s="8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0" customHeight="1">
      <c r="A1422" s="32">
        <v>1420.0</v>
      </c>
      <c r="B1422" s="4"/>
      <c r="C1422" s="4"/>
      <c r="D1422" s="8"/>
      <c r="E1422" s="8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0" customHeight="1">
      <c r="A1423" s="32">
        <v>1421.0</v>
      </c>
      <c r="B1423" s="4"/>
      <c r="C1423" s="4"/>
      <c r="D1423" s="8"/>
      <c r="E1423" s="8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0" customHeight="1">
      <c r="A1424" s="32">
        <v>1422.0</v>
      </c>
      <c r="B1424" s="4"/>
      <c r="C1424" s="4"/>
      <c r="D1424" s="8"/>
      <c r="E1424" s="8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0" customHeight="1">
      <c r="A1425" s="32">
        <v>1423.0</v>
      </c>
      <c r="B1425" s="4"/>
      <c r="C1425" s="4"/>
      <c r="D1425" s="8"/>
      <c r="E1425" s="8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0" customHeight="1">
      <c r="A1426" s="32">
        <v>1424.0</v>
      </c>
      <c r="B1426" s="4"/>
      <c r="C1426" s="4"/>
      <c r="D1426" s="8"/>
      <c r="E1426" s="8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0" customHeight="1">
      <c r="A1427" s="32">
        <v>1425.0</v>
      </c>
      <c r="B1427" s="4"/>
      <c r="C1427" s="4"/>
      <c r="D1427" s="8"/>
      <c r="E1427" s="8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0" customHeight="1">
      <c r="A1428" s="32">
        <v>1426.0</v>
      </c>
      <c r="B1428" s="4"/>
      <c r="C1428" s="4"/>
      <c r="D1428" s="8"/>
      <c r="E1428" s="8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0" customHeight="1">
      <c r="A1429" s="32">
        <v>1427.0</v>
      </c>
      <c r="B1429" s="4"/>
      <c r="C1429" s="4"/>
      <c r="D1429" s="8"/>
      <c r="E1429" s="8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0" customHeight="1">
      <c r="A1430" s="32">
        <v>1428.0</v>
      </c>
      <c r="B1430" s="4"/>
      <c r="C1430" s="4"/>
      <c r="D1430" s="8"/>
      <c r="E1430" s="8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0" customHeight="1">
      <c r="A1431" s="32">
        <v>1429.0</v>
      </c>
      <c r="B1431" s="4"/>
      <c r="C1431" s="4"/>
      <c r="D1431" s="8"/>
      <c r="E1431" s="8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0" customHeight="1">
      <c r="A1432" s="32">
        <v>1430.0</v>
      </c>
      <c r="B1432" s="4"/>
      <c r="C1432" s="4"/>
      <c r="D1432" s="8"/>
      <c r="E1432" s="8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0" customHeight="1">
      <c r="A1433" s="32">
        <v>1431.0</v>
      </c>
      <c r="B1433" s="4"/>
      <c r="C1433" s="4"/>
      <c r="D1433" s="8"/>
      <c r="E1433" s="8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0" customHeight="1">
      <c r="A1434" s="32">
        <v>1432.0</v>
      </c>
      <c r="B1434" s="4"/>
      <c r="C1434" s="4"/>
      <c r="D1434" s="8"/>
      <c r="E1434" s="8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0" customHeight="1">
      <c r="A1435" s="32">
        <v>1433.0</v>
      </c>
      <c r="B1435" s="4"/>
      <c r="C1435" s="4"/>
      <c r="D1435" s="8"/>
      <c r="E1435" s="8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0" customHeight="1">
      <c r="A1436" s="32">
        <v>1434.0</v>
      </c>
      <c r="B1436" s="4"/>
      <c r="C1436" s="4"/>
      <c r="D1436" s="8"/>
      <c r="E1436" s="8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0" customHeight="1">
      <c r="A1437" s="32">
        <v>1435.0</v>
      </c>
      <c r="B1437" s="4"/>
      <c r="C1437" s="4"/>
      <c r="D1437" s="8"/>
      <c r="E1437" s="8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0" customHeight="1">
      <c r="A1438" s="32">
        <v>1436.0</v>
      </c>
      <c r="B1438" s="4"/>
      <c r="C1438" s="4"/>
      <c r="D1438" s="8"/>
      <c r="E1438" s="8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0" customHeight="1">
      <c r="A1439" s="32">
        <v>1437.0</v>
      </c>
      <c r="B1439" s="4"/>
      <c r="C1439" s="4"/>
      <c r="D1439" s="8"/>
      <c r="E1439" s="8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0" customHeight="1">
      <c r="A1440" s="32">
        <v>1438.0</v>
      </c>
      <c r="B1440" s="4"/>
      <c r="C1440" s="4"/>
      <c r="D1440" s="8"/>
      <c r="E1440" s="8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0" customHeight="1">
      <c r="A1441" s="32">
        <v>1439.0</v>
      </c>
      <c r="B1441" s="4"/>
      <c r="C1441" s="4"/>
      <c r="D1441" s="8"/>
      <c r="E1441" s="8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0" customHeight="1">
      <c r="A1442" s="32">
        <v>1440.0</v>
      </c>
      <c r="B1442" s="4"/>
      <c r="C1442" s="4"/>
      <c r="D1442" s="8"/>
      <c r="E1442" s="8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0" customHeight="1">
      <c r="A1443" s="32">
        <v>1441.0</v>
      </c>
      <c r="B1443" s="4"/>
      <c r="C1443" s="4"/>
      <c r="D1443" s="8"/>
      <c r="E1443" s="8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0" customHeight="1">
      <c r="A1444" s="32">
        <v>1442.0</v>
      </c>
      <c r="B1444" s="4"/>
      <c r="C1444" s="4"/>
      <c r="D1444" s="8"/>
      <c r="E1444" s="8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0" customHeight="1">
      <c r="A1445" s="32">
        <v>1443.0</v>
      </c>
      <c r="B1445" s="4"/>
      <c r="C1445" s="4"/>
      <c r="D1445" s="8"/>
      <c r="E1445" s="8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0" customHeight="1">
      <c r="A1446" s="32">
        <v>1444.0</v>
      </c>
      <c r="B1446" s="4"/>
      <c r="C1446" s="4"/>
      <c r="D1446" s="8"/>
      <c r="E1446" s="8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0" customHeight="1">
      <c r="A1447" s="32">
        <v>1445.0</v>
      </c>
      <c r="B1447" s="4"/>
      <c r="C1447" s="4"/>
      <c r="D1447" s="8"/>
      <c r="E1447" s="8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0" customHeight="1">
      <c r="A1448" s="32">
        <v>1446.0</v>
      </c>
      <c r="B1448" s="4"/>
      <c r="C1448" s="4"/>
      <c r="D1448" s="8"/>
      <c r="E1448" s="8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0" customHeight="1">
      <c r="A1449" s="32">
        <v>1447.0</v>
      </c>
      <c r="B1449" s="4"/>
      <c r="C1449" s="4"/>
      <c r="D1449" s="8"/>
      <c r="E1449" s="8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0" customHeight="1">
      <c r="A1450" s="32">
        <v>1448.0</v>
      </c>
      <c r="B1450" s="4"/>
      <c r="C1450" s="4"/>
      <c r="D1450" s="8"/>
      <c r="E1450" s="8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0" customHeight="1">
      <c r="A1451" s="32">
        <v>1449.0</v>
      </c>
      <c r="B1451" s="4"/>
      <c r="C1451" s="4"/>
      <c r="D1451" s="8"/>
      <c r="E1451" s="8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0" customHeight="1">
      <c r="A1452" s="32">
        <v>1450.0</v>
      </c>
      <c r="B1452" s="4"/>
      <c r="C1452" s="4"/>
      <c r="D1452" s="8"/>
      <c r="E1452" s="8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0" customHeight="1">
      <c r="A1453" s="32">
        <v>1451.0</v>
      </c>
      <c r="B1453" s="4"/>
      <c r="C1453" s="4"/>
      <c r="D1453" s="8"/>
      <c r="E1453" s="8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0" customHeight="1">
      <c r="A1454" s="32">
        <v>1452.0</v>
      </c>
      <c r="B1454" s="4"/>
      <c r="C1454" s="4"/>
      <c r="D1454" s="8"/>
      <c r="E1454" s="8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0" customHeight="1">
      <c r="A1455" s="32">
        <v>1453.0</v>
      </c>
      <c r="B1455" s="4"/>
      <c r="C1455" s="4"/>
      <c r="D1455" s="8"/>
      <c r="E1455" s="8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0" customHeight="1">
      <c r="A1456" s="32">
        <v>1454.0</v>
      </c>
      <c r="B1456" s="4"/>
      <c r="C1456" s="4"/>
      <c r="D1456" s="8"/>
      <c r="E1456" s="8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0" customHeight="1">
      <c r="A1457" s="32">
        <v>1455.0</v>
      </c>
      <c r="B1457" s="4"/>
      <c r="C1457" s="4"/>
      <c r="D1457" s="8"/>
      <c r="E1457" s="8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0" customHeight="1">
      <c r="A1458" s="32">
        <v>1456.0</v>
      </c>
      <c r="B1458" s="4"/>
      <c r="C1458" s="4"/>
      <c r="D1458" s="8"/>
      <c r="E1458" s="8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0" customHeight="1">
      <c r="A1459" s="32">
        <v>1457.0</v>
      </c>
      <c r="B1459" s="4"/>
      <c r="C1459" s="4"/>
      <c r="D1459" s="8"/>
      <c r="E1459" s="8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0" customHeight="1">
      <c r="A1460" s="32">
        <v>1458.0</v>
      </c>
      <c r="B1460" s="4"/>
      <c r="C1460" s="4"/>
      <c r="D1460" s="8"/>
      <c r="E1460" s="8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0" customHeight="1">
      <c r="A1461" s="32">
        <v>1459.0</v>
      </c>
      <c r="B1461" s="4"/>
      <c r="C1461" s="4"/>
      <c r="D1461" s="8"/>
      <c r="E1461" s="8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0" customHeight="1">
      <c r="A1462" s="32">
        <v>1460.0</v>
      </c>
      <c r="B1462" s="4"/>
      <c r="C1462" s="4"/>
      <c r="D1462" s="8"/>
      <c r="E1462" s="8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0" customHeight="1">
      <c r="A1463" s="32">
        <v>1461.0</v>
      </c>
      <c r="B1463" s="4"/>
      <c r="C1463" s="4"/>
      <c r="D1463" s="8"/>
      <c r="E1463" s="8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0" customHeight="1">
      <c r="A1464" s="32">
        <v>1462.0</v>
      </c>
      <c r="B1464" s="4"/>
      <c r="C1464" s="4"/>
      <c r="D1464" s="8"/>
      <c r="E1464" s="8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0" customHeight="1">
      <c r="A1465" s="32">
        <v>1463.0</v>
      </c>
      <c r="B1465" s="4"/>
      <c r="C1465" s="4"/>
      <c r="D1465" s="8"/>
      <c r="E1465" s="8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0" customHeight="1">
      <c r="A1466" s="32">
        <v>1464.0</v>
      </c>
      <c r="B1466" s="4"/>
      <c r="C1466" s="4"/>
      <c r="D1466" s="8"/>
      <c r="E1466" s="8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0" customHeight="1">
      <c r="A1467" s="32">
        <v>1465.0</v>
      </c>
      <c r="B1467" s="4"/>
      <c r="C1467" s="4"/>
      <c r="D1467" s="8"/>
      <c r="E1467" s="8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0" customHeight="1">
      <c r="A1468" s="32">
        <v>1466.0</v>
      </c>
      <c r="B1468" s="4"/>
      <c r="C1468" s="4"/>
      <c r="D1468" s="8"/>
      <c r="E1468" s="8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0" customHeight="1">
      <c r="A1469" s="32">
        <v>1467.0</v>
      </c>
      <c r="B1469" s="4"/>
      <c r="C1469" s="4"/>
      <c r="D1469" s="8"/>
      <c r="E1469" s="8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0" customHeight="1">
      <c r="A1470" s="32">
        <v>1468.0</v>
      </c>
      <c r="B1470" s="4"/>
      <c r="C1470" s="4"/>
      <c r="D1470" s="8"/>
      <c r="E1470" s="8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0" customHeight="1">
      <c r="A1471" s="32">
        <v>1469.0</v>
      </c>
      <c r="B1471" s="4"/>
      <c r="C1471" s="4"/>
      <c r="D1471" s="8"/>
      <c r="E1471" s="8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0" customHeight="1">
      <c r="A1472" s="32">
        <v>1470.0</v>
      </c>
      <c r="B1472" s="4"/>
      <c r="C1472" s="4"/>
      <c r="D1472" s="8"/>
      <c r="E1472" s="8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0" customHeight="1">
      <c r="A1473" s="32">
        <v>1471.0</v>
      </c>
      <c r="B1473" s="4"/>
      <c r="C1473" s="4"/>
      <c r="D1473" s="8"/>
      <c r="E1473" s="8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0" customHeight="1">
      <c r="A1474" s="32">
        <v>1472.0</v>
      </c>
      <c r="B1474" s="4"/>
      <c r="C1474" s="4"/>
      <c r="D1474" s="8"/>
      <c r="E1474" s="8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0" customHeight="1">
      <c r="A1475" s="32">
        <v>1473.0</v>
      </c>
      <c r="B1475" s="4"/>
      <c r="C1475" s="4"/>
      <c r="D1475" s="8"/>
      <c r="E1475" s="8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0" customHeight="1">
      <c r="A1476" s="32">
        <v>1474.0</v>
      </c>
      <c r="B1476" s="4"/>
      <c r="C1476" s="4"/>
      <c r="D1476" s="8"/>
      <c r="E1476" s="8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0" customHeight="1">
      <c r="A1477" s="32">
        <v>1475.0</v>
      </c>
      <c r="B1477" s="4"/>
      <c r="C1477" s="4"/>
      <c r="D1477" s="8"/>
      <c r="E1477" s="8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0" customHeight="1">
      <c r="A1478" s="32">
        <v>1476.0</v>
      </c>
      <c r="B1478" s="4"/>
      <c r="C1478" s="4"/>
      <c r="D1478" s="8"/>
      <c r="E1478" s="8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0" customHeight="1">
      <c r="A1479" s="32">
        <v>1477.0</v>
      </c>
      <c r="B1479" s="4"/>
      <c r="C1479" s="4"/>
      <c r="D1479" s="8"/>
      <c r="E1479" s="8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0" customHeight="1">
      <c r="A1480" s="32">
        <v>1478.0</v>
      </c>
      <c r="B1480" s="4"/>
      <c r="C1480" s="4"/>
      <c r="D1480" s="8"/>
      <c r="E1480" s="8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0" customHeight="1">
      <c r="A1481" s="32">
        <v>1479.0</v>
      </c>
      <c r="B1481" s="4"/>
      <c r="C1481" s="4"/>
      <c r="D1481" s="8"/>
      <c r="E1481" s="8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0" customHeight="1">
      <c r="A1482" s="32">
        <v>1480.0</v>
      </c>
      <c r="B1482" s="4"/>
      <c r="C1482" s="4"/>
      <c r="D1482" s="8"/>
      <c r="E1482" s="8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0" customHeight="1">
      <c r="A1483" s="32">
        <v>1481.0</v>
      </c>
      <c r="B1483" s="4"/>
      <c r="C1483" s="4"/>
      <c r="D1483" s="8"/>
      <c r="E1483" s="8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0" customHeight="1">
      <c r="A1484" s="32">
        <v>1482.0</v>
      </c>
      <c r="B1484" s="4"/>
      <c r="C1484" s="4"/>
      <c r="D1484" s="8"/>
      <c r="E1484" s="8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0" customHeight="1">
      <c r="A1485" s="32">
        <v>1483.0</v>
      </c>
      <c r="B1485" s="4"/>
      <c r="C1485" s="4"/>
      <c r="D1485" s="8"/>
      <c r="E1485" s="8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0" customHeight="1">
      <c r="A1486" s="32">
        <v>1484.0</v>
      </c>
      <c r="B1486" s="4"/>
      <c r="C1486" s="4"/>
      <c r="D1486" s="8"/>
      <c r="E1486" s="8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0" customHeight="1">
      <c r="A1487" s="32">
        <v>1485.0</v>
      </c>
      <c r="B1487" s="4"/>
      <c r="C1487" s="4"/>
      <c r="D1487" s="8"/>
      <c r="E1487" s="8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0" customHeight="1">
      <c r="A1488" s="32">
        <v>1486.0</v>
      </c>
      <c r="B1488" s="4"/>
      <c r="C1488" s="4"/>
      <c r="D1488" s="8"/>
      <c r="E1488" s="8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0" customHeight="1">
      <c r="A1489" s="32">
        <v>1487.0</v>
      </c>
      <c r="B1489" s="4"/>
      <c r="C1489" s="4"/>
      <c r="D1489" s="8"/>
      <c r="E1489" s="8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0" customHeight="1">
      <c r="A1490" s="32">
        <v>1488.0</v>
      </c>
      <c r="B1490" s="4"/>
      <c r="C1490" s="4"/>
      <c r="D1490" s="8"/>
      <c r="E1490" s="8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0" customHeight="1">
      <c r="A1491" s="32">
        <v>1489.0</v>
      </c>
      <c r="B1491" s="4"/>
      <c r="C1491" s="4"/>
      <c r="D1491" s="8"/>
      <c r="E1491" s="8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0" customHeight="1">
      <c r="A1492" s="32">
        <v>1490.0</v>
      </c>
      <c r="B1492" s="4"/>
      <c r="C1492" s="4"/>
      <c r="D1492" s="8"/>
      <c r="E1492" s="8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0" customHeight="1">
      <c r="A1493" s="32">
        <v>1491.0</v>
      </c>
      <c r="B1493" s="4"/>
      <c r="C1493" s="4"/>
      <c r="D1493" s="8"/>
      <c r="E1493" s="8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0" customHeight="1">
      <c r="A1494" s="32">
        <v>1492.0</v>
      </c>
      <c r="B1494" s="4"/>
      <c r="C1494" s="4"/>
      <c r="D1494" s="8"/>
      <c r="E1494" s="8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0" customHeight="1">
      <c r="A1495" s="32">
        <v>1493.0</v>
      </c>
      <c r="B1495" s="4"/>
      <c r="C1495" s="4"/>
      <c r="D1495" s="8"/>
      <c r="E1495" s="8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0" customHeight="1">
      <c r="A1496" s="32">
        <v>1494.0</v>
      </c>
      <c r="B1496" s="4"/>
      <c r="C1496" s="4"/>
      <c r="D1496" s="8"/>
      <c r="E1496" s="8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0" customHeight="1">
      <c r="A1497" s="32">
        <v>1495.0</v>
      </c>
      <c r="B1497" s="4"/>
      <c r="C1497" s="4"/>
      <c r="D1497" s="8"/>
      <c r="E1497" s="8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0" customHeight="1">
      <c r="A1498" s="32">
        <v>1496.0</v>
      </c>
      <c r="B1498" s="4"/>
      <c r="C1498" s="4"/>
      <c r="D1498" s="8"/>
      <c r="E1498" s="8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0" customHeight="1">
      <c r="A1499" s="32">
        <v>1497.0</v>
      </c>
      <c r="B1499" s="4"/>
      <c r="C1499" s="4"/>
      <c r="D1499" s="8"/>
      <c r="E1499" s="8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0" customHeight="1">
      <c r="A1500" s="32">
        <v>1498.0</v>
      </c>
      <c r="B1500" s="4"/>
      <c r="C1500" s="4"/>
      <c r="D1500" s="8"/>
      <c r="E1500" s="8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0" customHeight="1">
      <c r="A1501" s="32">
        <v>1499.0</v>
      </c>
      <c r="B1501" s="4"/>
      <c r="C1501" s="4"/>
      <c r="D1501" s="8"/>
      <c r="E1501" s="8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0" customHeight="1">
      <c r="A1502" s="32">
        <v>1500.0</v>
      </c>
      <c r="B1502" s="4"/>
      <c r="C1502" s="4"/>
      <c r="D1502" s="8"/>
      <c r="E1502" s="8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0" customHeight="1">
      <c r="A1503" s="32">
        <v>1501.0</v>
      </c>
      <c r="B1503" s="4"/>
      <c r="C1503" s="4"/>
      <c r="D1503" s="8"/>
      <c r="E1503" s="8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0" customHeight="1">
      <c r="A1504" s="32">
        <v>1502.0</v>
      </c>
      <c r="B1504" s="4"/>
      <c r="C1504" s="4"/>
      <c r="D1504" s="8"/>
      <c r="E1504" s="8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0" customHeight="1">
      <c r="A1505" s="32">
        <v>1503.0</v>
      </c>
      <c r="B1505" s="4"/>
      <c r="C1505" s="4"/>
      <c r="D1505" s="8"/>
      <c r="E1505" s="8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0" customHeight="1">
      <c r="A1506" s="32">
        <v>1504.0</v>
      </c>
      <c r="B1506" s="4"/>
      <c r="C1506" s="4"/>
      <c r="D1506" s="8"/>
      <c r="E1506" s="8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0" customHeight="1">
      <c r="A1507" s="32">
        <v>1505.0</v>
      </c>
      <c r="B1507" s="4"/>
      <c r="C1507" s="4"/>
      <c r="D1507" s="8"/>
      <c r="E1507" s="8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0" customHeight="1">
      <c r="A1508" s="32">
        <v>1506.0</v>
      </c>
      <c r="B1508" s="4"/>
      <c r="C1508" s="4"/>
      <c r="D1508" s="8"/>
      <c r="E1508" s="8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0" customHeight="1">
      <c r="A1509" s="32">
        <v>1507.0</v>
      </c>
      <c r="B1509" s="4"/>
      <c r="C1509" s="4"/>
      <c r="D1509" s="8"/>
      <c r="E1509" s="8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0" customHeight="1">
      <c r="A1510" s="32">
        <v>1508.0</v>
      </c>
      <c r="B1510" s="4"/>
      <c r="C1510" s="4"/>
      <c r="D1510" s="8"/>
      <c r="E1510" s="8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0" customHeight="1">
      <c r="A1511" s="32">
        <v>1509.0</v>
      </c>
      <c r="B1511" s="4"/>
      <c r="C1511" s="4"/>
      <c r="D1511" s="8"/>
      <c r="E1511" s="8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0" customHeight="1">
      <c r="A1512" s="32">
        <v>1510.0</v>
      </c>
      <c r="B1512" s="4"/>
      <c r="C1512" s="4"/>
      <c r="D1512" s="8"/>
      <c r="E1512" s="8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0" customHeight="1">
      <c r="A1513" s="32">
        <v>1511.0</v>
      </c>
      <c r="B1513" s="4"/>
      <c r="C1513" s="4"/>
      <c r="D1513" s="8"/>
      <c r="E1513" s="8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0" customHeight="1">
      <c r="A1514" s="32">
        <v>1512.0</v>
      </c>
      <c r="B1514" s="4"/>
      <c r="C1514" s="4"/>
      <c r="D1514" s="8"/>
      <c r="E1514" s="8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0" customHeight="1">
      <c r="A1515" s="32">
        <v>1513.0</v>
      </c>
      <c r="B1515" s="4"/>
      <c r="C1515" s="4"/>
      <c r="D1515" s="8"/>
      <c r="E1515" s="8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0" customHeight="1">
      <c r="A1516" s="32">
        <v>1514.0</v>
      </c>
      <c r="B1516" s="4"/>
      <c r="C1516" s="4"/>
      <c r="D1516" s="8"/>
      <c r="E1516" s="8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0" customHeight="1">
      <c r="A1517" s="32">
        <v>1515.0</v>
      </c>
      <c r="B1517" s="4"/>
      <c r="C1517" s="4"/>
      <c r="D1517" s="8"/>
      <c r="E1517" s="8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0" customHeight="1">
      <c r="A1518" s="32">
        <v>1516.0</v>
      </c>
      <c r="B1518" s="4"/>
      <c r="C1518" s="4"/>
      <c r="D1518" s="8"/>
      <c r="E1518" s="8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0" customHeight="1">
      <c r="A1519" s="32">
        <v>1517.0</v>
      </c>
      <c r="B1519" s="4"/>
      <c r="C1519" s="4"/>
      <c r="D1519" s="8"/>
      <c r="E1519" s="8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0" customHeight="1">
      <c r="A1520" s="32">
        <v>1518.0</v>
      </c>
      <c r="B1520" s="4"/>
      <c r="C1520" s="4"/>
      <c r="D1520" s="8"/>
      <c r="E1520" s="8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0" customHeight="1">
      <c r="A1521" s="32">
        <v>1519.0</v>
      </c>
      <c r="B1521" s="4"/>
      <c r="C1521" s="4"/>
      <c r="D1521" s="8"/>
      <c r="E1521" s="8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0" customHeight="1">
      <c r="A1522" s="32">
        <v>1520.0</v>
      </c>
      <c r="B1522" s="4"/>
      <c r="C1522" s="4"/>
      <c r="D1522" s="8"/>
      <c r="E1522" s="8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0" customHeight="1">
      <c r="A1523" s="32">
        <v>1521.0</v>
      </c>
      <c r="B1523" s="4"/>
      <c r="C1523" s="4"/>
      <c r="D1523" s="8"/>
      <c r="E1523" s="8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0" customHeight="1">
      <c r="A1524" s="32">
        <v>1522.0</v>
      </c>
      <c r="B1524" s="4"/>
      <c r="C1524" s="4"/>
      <c r="D1524" s="8"/>
      <c r="E1524" s="8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0" customHeight="1">
      <c r="A1525" s="32">
        <v>1523.0</v>
      </c>
      <c r="B1525" s="4"/>
      <c r="C1525" s="4"/>
      <c r="D1525" s="8"/>
      <c r="E1525" s="8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0" customHeight="1">
      <c r="A1526" s="32">
        <v>1524.0</v>
      </c>
      <c r="B1526" s="4"/>
      <c r="C1526" s="4"/>
      <c r="D1526" s="8"/>
      <c r="E1526" s="8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0" customHeight="1">
      <c r="A1527" s="32">
        <v>1525.0</v>
      </c>
      <c r="B1527" s="4"/>
      <c r="C1527" s="4"/>
      <c r="D1527" s="8"/>
      <c r="E1527" s="8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0" customHeight="1">
      <c r="A1528" s="32">
        <v>1526.0</v>
      </c>
      <c r="B1528" s="4"/>
      <c r="C1528" s="4"/>
      <c r="D1528" s="8"/>
      <c r="E1528" s="8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0" customHeight="1">
      <c r="A1529" s="32">
        <v>1527.0</v>
      </c>
      <c r="B1529" s="4"/>
      <c r="C1529" s="4"/>
      <c r="D1529" s="8"/>
      <c r="E1529" s="8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0" customHeight="1">
      <c r="A1530" s="32">
        <v>1528.0</v>
      </c>
      <c r="B1530" s="4"/>
      <c r="C1530" s="4"/>
      <c r="D1530" s="8"/>
      <c r="E1530" s="8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0" customHeight="1">
      <c r="A1531" s="32">
        <v>1529.0</v>
      </c>
      <c r="B1531" s="4"/>
      <c r="C1531" s="4"/>
      <c r="D1531" s="8"/>
      <c r="E1531" s="8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0" customHeight="1">
      <c r="A1532" s="32">
        <v>1530.0</v>
      </c>
      <c r="B1532" s="4"/>
      <c r="C1532" s="4"/>
      <c r="D1532" s="8"/>
      <c r="E1532" s="8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0" customHeight="1">
      <c r="A1533" s="32">
        <v>1531.0</v>
      </c>
      <c r="B1533" s="4"/>
      <c r="C1533" s="4"/>
      <c r="D1533" s="8"/>
      <c r="E1533" s="8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0" customHeight="1">
      <c r="A1534" s="32">
        <v>1532.0</v>
      </c>
      <c r="B1534" s="4"/>
      <c r="C1534" s="4"/>
      <c r="D1534" s="8"/>
      <c r="E1534" s="8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0" customHeight="1">
      <c r="A1535" s="32">
        <v>1533.0</v>
      </c>
      <c r="B1535" s="4"/>
      <c r="C1535" s="4"/>
      <c r="D1535" s="8"/>
      <c r="E1535" s="8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0" customHeight="1">
      <c r="A1536" s="32">
        <v>1534.0</v>
      </c>
      <c r="B1536" s="4"/>
      <c r="C1536" s="4"/>
      <c r="D1536" s="8"/>
      <c r="E1536" s="8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0" customHeight="1">
      <c r="A1537" s="32">
        <v>1535.0</v>
      </c>
      <c r="B1537" s="4"/>
      <c r="C1537" s="4"/>
      <c r="D1537" s="8"/>
      <c r="E1537" s="8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0" customHeight="1">
      <c r="A1538" s="32">
        <v>1536.0</v>
      </c>
      <c r="B1538" s="4"/>
      <c r="C1538" s="4"/>
      <c r="D1538" s="8"/>
      <c r="E1538" s="8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0" customHeight="1">
      <c r="A1539" s="32">
        <v>1537.0</v>
      </c>
      <c r="B1539" s="4"/>
      <c r="C1539" s="4"/>
      <c r="D1539" s="8"/>
      <c r="E1539" s="8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0" customHeight="1">
      <c r="A1540" s="32">
        <v>1538.0</v>
      </c>
      <c r="B1540" s="4"/>
      <c r="C1540" s="4"/>
      <c r="D1540" s="8"/>
      <c r="E1540" s="8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0" customHeight="1">
      <c r="A1541" s="32">
        <v>1539.0</v>
      </c>
      <c r="B1541" s="4"/>
      <c r="C1541" s="4"/>
      <c r="D1541" s="8"/>
      <c r="E1541" s="8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0" customHeight="1">
      <c r="A1542" s="32">
        <v>1540.0</v>
      </c>
      <c r="B1542" s="4"/>
      <c r="C1542" s="4"/>
      <c r="D1542" s="8"/>
      <c r="E1542" s="8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0" customHeight="1">
      <c r="A1543" s="32">
        <v>1541.0</v>
      </c>
      <c r="B1543" s="4"/>
      <c r="C1543" s="4"/>
      <c r="D1543" s="8"/>
      <c r="E1543" s="8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0" customHeight="1">
      <c r="A1544" s="32">
        <v>1542.0</v>
      </c>
      <c r="B1544" s="4"/>
      <c r="C1544" s="4"/>
      <c r="D1544" s="8"/>
      <c r="E1544" s="8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0" customHeight="1">
      <c r="A1545" s="32">
        <v>1543.0</v>
      </c>
      <c r="B1545" s="4"/>
      <c r="C1545" s="4"/>
      <c r="D1545" s="8"/>
      <c r="E1545" s="8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0" customHeight="1">
      <c r="A1546" s="32">
        <v>1544.0</v>
      </c>
      <c r="B1546" s="4"/>
      <c r="C1546" s="4"/>
      <c r="D1546" s="8"/>
      <c r="E1546" s="8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0" customHeight="1">
      <c r="A1547" s="32">
        <v>1545.0</v>
      </c>
      <c r="B1547" s="4"/>
      <c r="C1547" s="4"/>
      <c r="D1547" s="8"/>
      <c r="E1547" s="8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0" customHeight="1">
      <c r="A1548" s="32">
        <v>1546.0</v>
      </c>
      <c r="B1548" s="4"/>
      <c r="C1548" s="4"/>
      <c r="D1548" s="8"/>
      <c r="E1548" s="8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0" customHeight="1">
      <c r="A1549" s="32">
        <v>1547.0</v>
      </c>
      <c r="B1549" s="4"/>
      <c r="C1549" s="4"/>
      <c r="D1549" s="8"/>
      <c r="E1549" s="8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0" customHeight="1">
      <c r="A1550" s="32">
        <v>1548.0</v>
      </c>
      <c r="B1550" s="4"/>
      <c r="C1550" s="4"/>
      <c r="D1550" s="8"/>
      <c r="E1550" s="8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0" customHeight="1">
      <c r="A1551" s="32">
        <v>1549.0</v>
      </c>
      <c r="B1551" s="4"/>
      <c r="C1551" s="4"/>
      <c r="D1551" s="8"/>
      <c r="E1551" s="8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0" customHeight="1">
      <c r="A1552" s="32">
        <v>1550.0</v>
      </c>
      <c r="B1552" s="4"/>
      <c r="C1552" s="4"/>
      <c r="D1552" s="8"/>
      <c r="E1552" s="8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0" customHeight="1">
      <c r="A1553" s="32">
        <v>1551.0</v>
      </c>
      <c r="B1553" s="4"/>
      <c r="C1553" s="4"/>
      <c r="D1553" s="8"/>
      <c r="E1553" s="8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0" customHeight="1">
      <c r="A1554" s="32">
        <v>1552.0</v>
      </c>
      <c r="B1554" s="4"/>
      <c r="C1554" s="4"/>
      <c r="D1554" s="8"/>
      <c r="E1554" s="8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0" customHeight="1">
      <c r="A1555" s="32">
        <v>1553.0</v>
      </c>
      <c r="B1555" s="4"/>
      <c r="C1555" s="4"/>
      <c r="D1555" s="8"/>
      <c r="E1555" s="8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0" customHeight="1">
      <c r="A1556" s="32">
        <v>1554.0</v>
      </c>
      <c r="B1556" s="4"/>
      <c r="C1556" s="4"/>
      <c r="D1556" s="8"/>
      <c r="E1556" s="8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0" customHeight="1">
      <c r="A1557" s="32">
        <v>1555.0</v>
      </c>
      <c r="B1557" s="4"/>
      <c r="C1557" s="4"/>
      <c r="D1557" s="8"/>
      <c r="E1557" s="8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0" customHeight="1">
      <c r="A1558" s="32">
        <v>1556.0</v>
      </c>
      <c r="B1558" s="4"/>
      <c r="C1558" s="4"/>
      <c r="D1558" s="8"/>
      <c r="E1558" s="8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0" customHeight="1">
      <c r="A1559" s="32">
        <v>1557.0</v>
      </c>
      <c r="B1559" s="4"/>
      <c r="C1559" s="4"/>
      <c r="D1559" s="8"/>
      <c r="E1559" s="8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0" customHeight="1">
      <c r="A1560" s="32">
        <v>1558.0</v>
      </c>
      <c r="B1560" s="4"/>
      <c r="C1560" s="4"/>
      <c r="D1560" s="8"/>
      <c r="E1560" s="8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0" customHeight="1">
      <c r="A1561" s="32">
        <v>1559.0</v>
      </c>
      <c r="B1561" s="4"/>
      <c r="C1561" s="4"/>
      <c r="D1561" s="8"/>
      <c r="E1561" s="8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0" customHeight="1">
      <c r="A1562" s="32">
        <v>1560.0</v>
      </c>
      <c r="B1562" s="4"/>
      <c r="C1562" s="4"/>
      <c r="D1562" s="8"/>
      <c r="E1562" s="8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0" customHeight="1">
      <c r="A1563" s="32">
        <v>1561.0</v>
      </c>
      <c r="B1563" s="4"/>
      <c r="C1563" s="4"/>
      <c r="D1563" s="8"/>
      <c r="E1563" s="8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0" customHeight="1">
      <c r="A1564" s="32">
        <v>1562.0</v>
      </c>
      <c r="B1564" s="4"/>
      <c r="C1564" s="4"/>
      <c r="D1564" s="8"/>
      <c r="E1564" s="8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0" customHeight="1">
      <c r="A1565" s="32">
        <v>1563.0</v>
      </c>
      <c r="B1565" s="4"/>
      <c r="C1565" s="4"/>
      <c r="D1565" s="8"/>
      <c r="E1565" s="8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0" customHeight="1">
      <c r="A1566" s="32">
        <v>1564.0</v>
      </c>
      <c r="B1566" s="4"/>
      <c r="C1566" s="4"/>
      <c r="D1566" s="8"/>
      <c r="E1566" s="8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0" customHeight="1">
      <c r="A1567" s="32">
        <v>1565.0</v>
      </c>
      <c r="B1567" s="4"/>
      <c r="C1567" s="4"/>
      <c r="D1567" s="8"/>
      <c r="E1567" s="8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0" customHeight="1">
      <c r="A1568" s="32">
        <v>1566.0</v>
      </c>
      <c r="B1568" s="4"/>
      <c r="C1568" s="4"/>
      <c r="D1568" s="8"/>
      <c r="E1568" s="8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0" customHeight="1">
      <c r="A1569" s="32">
        <v>1567.0</v>
      </c>
      <c r="B1569" s="4"/>
      <c r="C1569" s="4"/>
      <c r="D1569" s="8"/>
      <c r="E1569" s="8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0" customHeight="1">
      <c r="A1570" s="32">
        <v>1568.0</v>
      </c>
      <c r="B1570" s="4"/>
      <c r="C1570" s="4"/>
      <c r="D1570" s="8"/>
      <c r="E1570" s="8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0" customHeight="1">
      <c r="A1571" s="32">
        <v>1569.0</v>
      </c>
      <c r="B1571" s="4"/>
      <c r="C1571" s="4"/>
      <c r="D1571" s="8"/>
      <c r="E1571" s="8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0" customHeight="1">
      <c r="A1572" s="32">
        <v>1570.0</v>
      </c>
      <c r="B1572" s="4"/>
      <c r="C1572" s="4"/>
      <c r="D1572" s="8"/>
      <c r="E1572" s="8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0" customHeight="1">
      <c r="A1573" s="32">
        <v>1571.0</v>
      </c>
      <c r="B1573" s="4"/>
      <c r="C1573" s="4"/>
      <c r="D1573" s="8"/>
      <c r="E1573" s="8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0" customHeight="1">
      <c r="A1574" s="32">
        <v>1572.0</v>
      </c>
      <c r="B1574" s="4"/>
      <c r="C1574" s="4"/>
      <c r="D1574" s="8"/>
      <c r="E1574" s="8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0" customHeight="1">
      <c r="A1575" s="32">
        <v>1573.0</v>
      </c>
      <c r="B1575" s="4"/>
      <c r="C1575" s="4"/>
      <c r="D1575" s="8"/>
      <c r="E1575" s="8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0" customHeight="1">
      <c r="A1576" s="32">
        <v>1574.0</v>
      </c>
      <c r="B1576" s="4"/>
      <c r="C1576" s="4"/>
      <c r="D1576" s="8"/>
      <c r="E1576" s="8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0" customHeight="1">
      <c r="A1577" s="32">
        <v>1575.0</v>
      </c>
      <c r="B1577" s="4"/>
      <c r="C1577" s="4"/>
      <c r="D1577" s="8"/>
      <c r="E1577" s="8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0" customHeight="1">
      <c r="A1578" s="32">
        <v>1576.0</v>
      </c>
      <c r="B1578" s="4"/>
      <c r="C1578" s="4"/>
      <c r="D1578" s="8"/>
      <c r="E1578" s="8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0" customHeight="1">
      <c r="A1579" s="32">
        <v>1577.0</v>
      </c>
      <c r="B1579" s="4"/>
      <c r="C1579" s="4"/>
      <c r="D1579" s="8"/>
      <c r="E1579" s="8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0" customHeight="1">
      <c r="A1580" s="32">
        <v>1578.0</v>
      </c>
      <c r="B1580" s="4"/>
      <c r="C1580" s="4"/>
      <c r="D1580" s="8"/>
      <c r="E1580" s="8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0" customHeight="1">
      <c r="A1581" s="32">
        <v>1579.0</v>
      </c>
      <c r="B1581" s="4"/>
      <c r="C1581" s="4"/>
      <c r="D1581" s="8"/>
      <c r="E1581" s="8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0" customHeight="1">
      <c r="A1582" s="32">
        <v>1580.0</v>
      </c>
      <c r="B1582" s="4"/>
      <c r="C1582" s="4"/>
      <c r="D1582" s="8"/>
      <c r="E1582" s="8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0" customHeight="1">
      <c r="A1583" s="32">
        <v>1581.0</v>
      </c>
      <c r="B1583" s="4"/>
      <c r="C1583" s="4"/>
      <c r="D1583" s="8"/>
      <c r="E1583" s="8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0" customHeight="1">
      <c r="A1584" s="32">
        <v>1582.0</v>
      </c>
      <c r="B1584" s="4"/>
      <c r="C1584" s="4"/>
      <c r="D1584" s="8"/>
      <c r="E1584" s="8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0" customHeight="1">
      <c r="A1585" s="32">
        <v>1583.0</v>
      </c>
      <c r="B1585" s="4"/>
      <c r="C1585" s="4"/>
      <c r="D1585" s="8"/>
      <c r="E1585" s="8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0" customHeight="1">
      <c r="A1586" s="32">
        <v>1584.0</v>
      </c>
      <c r="B1586" s="4"/>
      <c r="C1586" s="4"/>
      <c r="D1586" s="8"/>
      <c r="E1586" s="8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0" customHeight="1">
      <c r="A1587" s="32">
        <v>1585.0</v>
      </c>
      <c r="B1587" s="4"/>
      <c r="C1587" s="4"/>
      <c r="D1587" s="8"/>
      <c r="E1587" s="8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0" customHeight="1">
      <c r="A1588" s="32">
        <v>1586.0</v>
      </c>
      <c r="B1588" s="4"/>
      <c r="C1588" s="4"/>
      <c r="D1588" s="8"/>
      <c r="E1588" s="8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0" customHeight="1">
      <c r="A1589" s="32">
        <v>1587.0</v>
      </c>
      <c r="B1589" s="4"/>
      <c r="C1589" s="4"/>
      <c r="D1589" s="8"/>
      <c r="E1589" s="8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0" customHeight="1">
      <c r="A1590" s="32">
        <v>1588.0</v>
      </c>
      <c r="B1590" s="4"/>
      <c r="C1590" s="4"/>
      <c r="D1590" s="8"/>
      <c r="E1590" s="8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0" customHeight="1">
      <c r="A1591" s="32">
        <v>1589.0</v>
      </c>
      <c r="B1591" s="4"/>
      <c r="C1591" s="4"/>
      <c r="D1591" s="8"/>
      <c r="E1591" s="8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0" customHeight="1">
      <c r="A1592" s="32">
        <v>1590.0</v>
      </c>
      <c r="B1592" s="4"/>
      <c r="C1592" s="4"/>
      <c r="D1592" s="8"/>
      <c r="E1592" s="8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0" customHeight="1">
      <c r="A1593" s="32">
        <v>1591.0</v>
      </c>
      <c r="B1593" s="4"/>
      <c r="C1593" s="4"/>
      <c r="D1593" s="8"/>
      <c r="E1593" s="8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0" customHeight="1">
      <c r="A1594" s="32">
        <v>1592.0</v>
      </c>
      <c r="B1594" s="4"/>
      <c r="C1594" s="4"/>
      <c r="D1594" s="8"/>
      <c r="E1594" s="8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0" customHeight="1">
      <c r="A1595" s="32">
        <v>1593.0</v>
      </c>
      <c r="B1595" s="4"/>
      <c r="C1595" s="4"/>
      <c r="D1595" s="8"/>
      <c r="E1595" s="8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0" customHeight="1">
      <c r="A1596" s="32">
        <v>1594.0</v>
      </c>
      <c r="B1596" s="4"/>
      <c r="C1596" s="4"/>
      <c r="D1596" s="8"/>
      <c r="E1596" s="8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0" customHeight="1">
      <c r="A1597" s="32">
        <v>1595.0</v>
      </c>
      <c r="B1597" s="4"/>
      <c r="C1597" s="4"/>
      <c r="D1597" s="8"/>
      <c r="E1597" s="8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0" customHeight="1">
      <c r="A1598" s="32">
        <v>1596.0</v>
      </c>
      <c r="B1598" s="4"/>
      <c r="C1598" s="4"/>
      <c r="D1598" s="8"/>
      <c r="E1598" s="8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0" customHeight="1">
      <c r="A1599" s="32">
        <v>1597.0</v>
      </c>
      <c r="B1599" s="4"/>
      <c r="C1599" s="4"/>
      <c r="D1599" s="8"/>
      <c r="E1599" s="8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0" customHeight="1">
      <c r="A1600" s="32">
        <v>1598.0</v>
      </c>
      <c r="B1600" s="4"/>
      <c r="C1600" s="4"/>
      <c r="D1600" s="8"/>
      <c r="E1600" s="8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0" customHeight="1">
      <c r="A1601" s="32">
        <v>1599.0</v>
      </c>
      <c r="B1601" s="4"/>
      <c r="C1601" s="4"/>
      <c r="D1601" s="8"/>
      <c r="E1601" s="8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0" customHeight="1">
      <c r="A1602" s="32">
        <v>1600.0</v>
      </c>
      <c r="B1602" s="4"/>
      <c r="C1602" s="4"/>
      <c r="D1602" s="8"/>
      <c r="E1602" s="8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0" customHeight="1">
      <c r="A1603" s="32">
        <v>1601.0</v>
      </c>
      <c r="B1603" s="4"/>
      <c r="C1603" s="4"/>
      <c r="D1603" s="8"/>
      <c r="E1603" s="8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0" customHeight="1">
      <c r="A1604" s="32">
        <v>1602.0</v>
      </c>
      <c r="B1604" s="4"/>
      <c r="C1604" s="4"/>
      <c r="D1604" s="8"/>
      <c r="E1604" s="8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0" customHeight="1">
      <c r="A1605" s="32">
        <v>1603.0</v>
      </c>
      <c r="B1605" s="4"/>
      <c r="C1605" s="4"/>
      <c r="D1605" s="8"/>
      <c r="E1605" s="8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0" customHeight="1">
      <c r="A1606" s="32">
        <v>1604.0</v>
      </c>
      <c r="B1606" s="4"/>
      <c r="C1606" s="4"/>
      <c r="D1606" s="8"/>
      <c r="E1606" s="8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0" customHeight="1">
      <c r="A1607" s="32">
        <v>1605.0</v>
      </c>
      <c r="B1607" s="4"/>
      <c r="C1607" s="4"/>
      <c r="D1607" s="8"/>
      <c r="E1607" s="8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0" customHeight="1">
      <c r="A1608" s="32">
        <v>1606.0</v>
      </c>
      <c r="B1608" s="4"/>
      <c r="C1608" s="4"/>
      <c r="D1608" s="8"/>
      <c r="E1608" s="8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0" customHeight="1">
      <c r="A1609" s="32">
        <v>1607.0</v>
      </c>
      <c r="B1609" s="4"/>
      <c r="C1609" s="4"/>
      <c r="D1609" s="8"/>
      <c r="E1609" s="8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0" customHeight="1">
      <c r="A1610" s="32">
        <v>1608.0</v>
      </c>
      <c r="B1610" s="4"/>
      <c r="C1610" s="4"/>
      <c r="D1610" s="8"/>
      <c r="E1610" s="8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0" customHeight="1">
      <c r="A1611" s="32">
        <v>1609.0</v>
      </c>
      <c r="B1611" s="4"/>
      <c r="C1611" s="4"/>
      <c r="D1611" s="8"/>
      <c r="E1611" s="8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0" customHeight="1">
      <c r="A1612" s="32">
        <v>1610.0</v>
      </c>
      <c r="B1612" s="4"/>
      <c r="C1612" s="4"/>
      <c r="D1612" s="8"/>
      <c r="E1612" s="8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0" customHeight="1">
      <c r="A1613" s="32">
        <v>1611.0</v>
      </c>
      <c r="B1613" s="4"/>
      <c r="C1613" s="4"/>
      <c r="D1613" s="8"/>
      <c r="E1613" s="8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0" customHeight="1">
      <c r="A1614" s="32">
        <v>1612.0</v>
      </c>
      <c r="B1614" s="4"/>
      <c r="C1614" s="4"/>
      <c r="D1614" s="8"/>
      <c r="E1614" s="8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0" customHeight="1">
      <c r="A1615" s="32">
        <v>1613.0</v>
      </c>
      <c r="B1615" s="4"/>
      <c r="C1615" s="4"/>
      <c r="D1615" s="8"/>
      <c r="E1615" s="8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0" customHeight="1">
      <c r="A1616" s="32">
        <v>1614.0</v>
      </c>
      <c r="B1616" s="4"/>
      <c r="C1616" s="4"/>
      <c r="D1616" s="8"/>
      <c r="E1616" s="8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0" customHeight="1">
      <c r="A1617" s="32">
        <v>1615.0</v>
      </c>
      <c r="B1617" s="4"/>
      <c r="C1617" s="4"/>
      <c r="D1617" s="8"/>
      <c r="E1617" s="8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0" customHeight="1">
      <c r="A1618" s="32">
        <v>1616.0</v>
      </c>
      <c r="B1618" s="4"/>
      <c r="C1618" s="4"/>
      <c r="D1618" s="8"/>
      <c r="E1618" s="8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0" customHeight="1">
      <c r="A1619" s="32">
        <v>1617.0</v>
      </c>
      <c r="B1619" s="4"/>
      <c r="C1619" s="4"/>
      <c r="D1619" s="8"/>
      <c r="E1619" s="8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0" customHeight="1">
      <c r="A1620" s="32">
        <v>1618.0</v>
      </c>
      <c r="B1620" s="4"/>
      <c r="C1620" s="4"/>
      <c r="D1620" s="8"/>
      <c r="E1620" s="8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0" customHeight="1">
      <c r="A1621" s="32">
        <v>1619.0</v>
      </c>
      <c r="B1621" s="4"/>
      <c r="C1621" s="4"/>
      <c r="D1621" s="8"/>
      <c r="E1621" s="8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0" customHeight="1">
      <c r="A1622" s="32">
        <v>1620.0</v>
      </c>
      <c r="B1622" s="4"/>
      <c r="C1622" s="4"/>
      <c r="D1622" s="8"/>
      <c r="E1622" s="8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0" customHeight="1">
      <c r="A1623" s="32">
        <v>1621.0</v>
      </c>
      <c r="B1623" s="4"/>
      <c r="C1623" s="4"/>
      <c r="D1623" s="8"/>
      <c r="E1623" s="8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0" customHeight="1">
      <c r="A1624" s="32">
        <v>1622.0</v>
      </c>
      <c r="B1624" s="4"/>
      <c r="C1624" s="4"/>
      <c r="D1624" s="8"/>
      <c r="E1624" s="8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0" customHeight="1">
      <c r="A1625" s="32">
        <v>1623.0</v>
      </c>
      <c r="B1625" s="4"/>
      <c r="C1625" s="4"/>
      <c r="D1625" s="8"/>
      <c r="E1625" s="8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0" customHeight="1">
      <c r="A1626" s="32">
        <v>1624.0</v>
      </c>
      <c r="B1626" s="4"/>
      <c r="C1626" s="4"/>
      <c r="D1626" s="8"/>
      <c r="E1626" s="8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0" customHeight="1">
      <c r="A1627" s="32">
        <v>1625.0</v>
      </c>
      <c r="B1627" s="4"/>
      <c r="C1627" s="4"/>
      <c r="D1627" s="8"/>
      <c r="E1627" s="8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0" customHeight="1">
      <c r="A1628" s="32">
        <v>1626.0</v>
      </c>
      <c r="B1628" s="4"/>
      <c r="C1628" s="4"/>
      <c r="D1628" s="8"/>
      <c r="E1628" s="8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0" customHeight="1">
      <c r="A1629" s="32">
        <v>1627.0</v>
      </c>
      <c r="B1629" s="4"/>
      <c r="C1629" s="4"/>
      <c r="D1629" s="8"/>
      <c r="E1629" s="8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0" customHeight="1">
      <c r="A1630" s="32">
        <v>1628.0</v>
      </c>
      <c r="B1630" s="4"/>
      <c r="C1630" s="4"/>
      <c r="D1630" s="8"/>
      <c r="E1630" s="8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0" customHeight="1">
      <c r="A1631" s="32">
        <v>1629.0</v>
      </c>
      <c r="B1631" s="4"/>
      <c r="C1631" s="4"/>
      <c r="D1631" s="8"/>
      <c r="E1631" s="8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0" customHeight="1">
      <c r="A1632" s="32">
        <v>1630.0</v>
      </c>
      <c r="B1632" s="4"/>
      <c r="C1632" s="4"/>
      <c r="D1632" s="8"/>
      <c r="E1632" s="8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0" customHeight="1">
      <c r="A1633" s="32">
        <v>1631.0</v>
      </c>
      <c r="B1633" s="4"/>
      <c r="C1633" s="4"/>
      <c r="D1633" s="8"/>
      <c r="E1633" s="8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0" customHeight="1">
      <c r="A1634" s="32">
        <v>1632.0</v>
      </c>
      <c r="B1634" s="4"/>
      <c r="C1634" s="4"/>
      <c r="D1634" s="8"/>
      <c r="E1634" s="8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0" customHeight="1">
      <c r="A1635" s="32">
        <v>1633.0</v>
      </c>
      <c r="B1635" s="4"/>
      <c r="C1635" s="4"/>
      <c r="D1635" s="8"/>
      <c r="E1635" s="8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0" customHeight="1">
      <c r="A1636" s="32">
        <v>1634.0</v>
      </c>
      <c r="B1636" s="4"/>
      <c r="C1636" s="4"/>
      <c r="D1636" s="8"/>
      <c r="E1636" s="8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0" customHeight="1">
      <c r="A1637" s="32">
        <v>1635.0</v>
      </c>
      <c r="B1637" s="4"/>
      <c r="C1637" s="4"/>
      <c r="D1637" s="8"/>
      <c r="E1637" s="8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0" customHeight="1">
      <c r="A1638" s="32">
        <v>1636.0</v>
      </c>
      <c r="B1638" s="4"/>
      <c r="C1638" s="4"/>
      <c r="D1638" s="8"/>
      <c r="E1638" s="8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0" customHeight="1">
      <c r="A1639" s="32">
        <v>1637.0</v>
      </c>
      <c r="B1639" s="4"/>
      <c r="C1639" s="4"/>
      <c r="D1639" s="8"/>
      <c r="E1639" s="8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0" customHeight="1">
      <c r="A1640" s="32">
        <v>1638.0</v>
      </c>
      <c r="B1640" s="4"/>
      <c r="C1640" s="4"/>
      <c r="D1640" s="8"/>
      <c r="E1640" s="8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0" customHeight="1">
      <c r="A1641" s="32">
        <v>1639.0</v>
      </c>
      <c r="B1641" s="4"/>
      <c r="C1641" s="4"/>
      <c r="D1641" s="8"/>
      <c r="E1641" s="8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0" customHeight="1">
      <c r="A1642" s="32">
        <v>1640.0</v>
      </c>
      <c r="B1642" s="4"/>
      <c r="C1642" s="4"/>
      <c r="D1642" s="8"/>
      <c r="E1642" s="8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0" customHeight="1">
      <c r="A1643" s="32">
        <v>1641.0</v>
      </c>
      <c r="B1643" s="4"/>
      <c r="C1643" s="4"/>
      <c r="D1643" s="8"/>
      <c r="E1643" s="8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0" customHeight="1">
      <c r="A1644" s="32">
        <v>1642.0</v>
      </c>
      <c r="B1644" s="4"/>
      <c r="C1644" s="4"/>
      <c r="D1644" s="8"/>
      <c r="E1644" s="8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0" customHeight="1">
      <c r="A1645" s="32">
        <v>1643.0</v>
      </c>
      <c r="B1645" s="4"/>
      <c r="C1645" s="4"/>
      <c r="D1645" s="8"/>
      <c r="E1645" s="8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0" customHeight="1">
      <c r="A1646" s="32">
        <v>1644.0</v>
      </c>
      <c r="B1646" s="4"/>
      <c r="C1646" s="4"/>
      <c r="D1646" s="8"/>
      <c r="E1646" s="8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0" customHeight="1">
      <c r="A1647" s="32">
        <v>1645.0</v>
      </c>
      <c r="B1647" s="4"/>
      <c r="C1647" s="4"/>
      <c r="D1647" s="8"/>
      <c r="E1647" s="8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0" customHeight="1">
      <c r="A1648" s="32">
        <v>1646.0</v>
      </c>
      <c r="B1648" s="4"/>
      <c r="C1648" s="4"/>
      <c r="D1648" s="8"/>
      <c r="E1648" s="8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0" customHeight="1">
      <c r="A1649" s="32">
        <v>1647.0</v>
      </c>
      <c r="B1649" s="4"/>
      <c r="C1649" s="4"/>
      <c r="D1649" s="8"/>
      <c r="E1649" s="8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0" customHeight="1">
      <c r="A1650" s="32">
        <v>1648.0</v>
      </c>
      <c r="B1650" s="4"/>
      <c r="C1650" s="4"/>
      <c r="D1650" s="8"/>
      <c r="E1650" s="8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0" customHeight="1">
      <c r="A1651" s="32">
        <v>1649.0</v>
      </c>
      <c r="B1651" s="4"/>
      <c r="C1651" s="4"/>
      <c r="D1651" s="8"/>
      <c r="E1651" s="8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0" customHeight="1">
      <c r="A1652" s="32">
        <v>1650.0</v>
      </c>
      <c r="B1652" s="4"/>
      <c r="C1652" s="4"/>
      <c r="D1652" s="8"/>
      <c r="E1652" s="8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0" customHeight="1">
      <c r="A1653" s="32">
        <v>1651.0</v>
      </c>
      <c r="B1653" s="4"/>
      <c r="C1653" s="4"/>
      <c r="D1653" s="8"/>
      <c r="E1653" s="8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0" customHeight="1">
      <c r="A1654" s="32">
        <v>1652.0</v>
      </c>
      <c r="B1654" s="4"/>
      <c r="C1654" s="4"/>
      <c r="D1654" s="8"/>
      <c r="E1654" s="8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0" customHeight="1">
      <c r="A1655" s="32">
        <v>1653.0</v>
      </c>
      <c r="B1655" s="4"/>
      <c r="C1655" s="4"/>
      <c r="D1655" s="8"/>
      <c r="E1655" s="8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0" customHeight="1">
      <c r="A1656" s="32">
        <v>1654.0</v>
      </c>
      <c r="B1656" s="4"/>
      <c r="C1656" s="4"/>
      <c r="D1656" s="8"/>
      <c r="E1656" s="8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0" customHeight="1">
      <c r="A1657" s="32">
        <v>1655.0</v>
      </c>
      <c r="B1657" s="4"/>
      <c r="C1657" s="4"/>
      <c r="D1657" s="8"/>
      <c r="E1657" s="8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0" customHeight="1">
      <c r="A1658" s="32">
        <v>1656.0</v>
      </c>
      <c r="B1658" s="4"/>
      <c r="C1658" s="4"/>
      <c r="D1658" s="8"/>
      <c r="E1658" s="8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0" customHeight="1">
      <c r="A1659" s="32">
        <v>1657.0</v>
      </c>
      <c r="B1659" s="4"/>
      <c r="C1659" s="4"/>
      <c r="D1659" s="8"/>
      <c r="E1659" s="8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0" customHeight="1">
      <c r="A1660" s="32">
        <v>1658.0</v>
      </c>
      <c r="B1660" s="4"/>
      <c r="C1660" s="4"/>
      <c r="D1660" s="8"/>
      <c r="E1660" s="8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0" customHeight="1">
      <c r="A1661" s="32">
        <v>1659.0</v>
      </c>
      <c r="B1661" s="4"/>
      <c r="C1661" s="4"/>
      <c r="D1661" s="8"/>
      <c r="E1661" s="8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0" customHeight="1">
      <c r="A1662" s="32">
        <v>1660.0</v>
      </c>
      <c r="B1662" s="4"/>
      <c r="C1662" s="4"/>
      <c r="D1662" s="8"/>
      <c r="E1662" s="8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0" customHeight="1">
      <c r="A1663" s="32">
        <v>1661.0</v>
      </c>
      <c r="B1663" s="4"/>
      <c r="C1663" s="4"/>
      <c r="D1663" s="8"/>
      <c r="E1663" s="8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0" customHeight="1">
      <c r="A1664" s="32">
        <v>1662.0</v>
      </c>
      <c r="B1664" s="4"/>
      <c r="C1664" s="4"/>
      <c r="D1664" s="8"/>
      <c r="E1664" s="8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0" customHeight="1">
      <c r="A1665" s="32">
        <v>1663.0</v>
      </c>
      <c r="B1665" s="4"/>
      <c r="C1665" s="4"/>
      <c r="D1665" s="8"/>
      <c r="E1665" s="8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0" customHeight="1">
      <c r="A1666" s="32">
        <v>1664.0</v>
      </c>
      <c r="B1666" s="4"/>
      <c r="C1666" s="4"/>
      <c r="D1666" s="8"/>
      <c r="E1666" s="8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0" customHeight="1">
      <c r="A1667" s="32">
        <v>1665.0</v>
      </c>
      <c r="B1667" s="4"/>
      <c r="C1667" s="4"/>
      <c r="D1667" s="8"/>
      <c r="E1667" s="8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0" customHeight="1">
      <c r="A1668" s="32">
        <v>1666.0</v>
      </c>
      <c r="B1668" s="4"/>
      <c r="C1668" s="4"/>
      <c r="D1668" s="8"/>
      <c r="E1668" s="8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0" customHeight="1">
      <c r="A1669" s="32">
        <v>1667.0</v>
      </c>
      <c r="B1669" s="4"/>
      <c r="C1669" s="4"/>
      <c r="D1669" s="8"/>
      <c r="E1669" s="8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0" customHeight="1">
      <c r="A1670" s="32">
        <v>1668.0</v>
      </c>
      <c r="B1670" s="4"/>
      <c r="C1670" s="4"/>
      <c r="D1670" s="8"/>
      <c r="E1670" s="8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0" customHeight="1">
      <c r="A1671" s="32">
        <v>1669.0</v>
      </c>
      <c r="B1671" s="4"/>
      <c r="C1671" s="4"/>
      <c r="D1671" s="8"/>
      <c r="E1671" s="8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0" customHeight="1">
      <c r="A1672" s="32">
        <v>1670.0</v>
      </c>
      <c r="B1672" s="4"/>
      <c r="C1672" s="4"/>
      <c r="D1672" s="8"/>
      <c r="E1672" s="8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0" customHeight="1">
      <c r="A1673" s="32">
        <v>1671.0</v>
      </c>
      <c r="B1673" s="4"/>
      <c r="C1673" s="4"/>
      <c r="D1673" s="8"/>
      <c r="E1673" s="8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0" customHeight="1">
      <c r="A1674" s="32">
        <v>1672.0</v>
      </c>
      <c r="B1674" s="4"/>
      <c r="C1674" s="4"/>
      <c r="D1674" s="8"/>
      <c r="E1674" s="8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0" customHeight="1">
      <c r="A1675" s="32">
        <v>1673.0</v>
      </c>
      <c r="B1675" s="4"/>
      <c r="C1675" s="4"/>
      <c r="D1675" s="8"/>
      <c r="E1675" s="8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0" customHeight="1">
      <c r="A1676" s="32">
        <v>1674.0</v>
      </c>
      <c r="B1676" s="4"/>
      <c r="C1676" s="4"/>
      <c r="D1676" s="8"/>
      <c r="E1676" s="8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0" customHeight="1">
      <c r="A1677" s="32">
        <v>1675.0</v>
      </c>
      <c r="B1677" s="4"/>
      <c r="C1677" s="4"/>
      <c r="D1677" s="8"/>
      <c r="E1677" s="8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0" customHeight="1">
      <c r="A1678" s="32">
        <v>1676.0</v>
      </c>
      <c r="B1678" s="4"/>
      <c r="C1678" s="4"/>
      <c r="D1678" s="8"/>
      <c r="E1678" s="8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0" customHeight="1">
      <c r="A1679" s="32">
        <v>1677.0</v>
      </c>
      <c r="B1679" s="4"/>
      <c r="C1679" s="4"/>
      <c r="D1679" s="8"/>
      <c r="E1679" s="8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0" customHeight="1">
      <c r="A1680" s="32">
        <v>1678.0</v>
      </c>
      <c r="B1680" s="4"/>
      <c r="C1680" s="4"/>
      <c r="D1680" s="8"/>
      <c r="E1680" s="8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0" customHeight="1">
      <c r="A1681" s="32">
        <v>1679.0</v>
      </c>
      <c r="B1681" s="4"/>
      <c r="C1681" s="4"/>
      <c r="D1681" s="8"/>
      <c r="E1681" s="8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0" customHeight="1">
      <c r="A1682" s="32">
        <v>1680.0</v>
      </c>
      <c r="B1682" s="4"/>
      <c r="C1682" s="4"/>
      <c r="D1682" s="8"/>
      <c r="E1682" s="8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0" customHeight="1">
      <c r="A1683" s="32">
        <v>1681.0</v>
      </c>
      <c r="B1683" s="4"/>
      <c r="C1683" s="4"/>
      <c r="D1683" s="8"/>
      <c r="E1683" s="8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0" customHeight="1">
      <c r="A1684" s="32">
        <v>1682.0</v>
      </c>
      <c r="B1684" s="4"/>
      <c r="C1684" s="4"/>
      <c r="D1684" s="8"/>
      <c r="E1684" s="8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0" customHeight="1">
      <c r="A1685" s="32">
        <v>1683.0</v>
      </c>
      <c r="B1685" s="4"/>
      <c r="C1685" s="4"/>
      <c r="D1685" s="8"/>
      <c r="E1685" s="8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0" customHeight="1">
      <c r="A1686" s="32">
        <v>1684.0</v>
      </c>
      <c r="B1686" s="4"/>
      <c r="C1686" s="4"/>
      <c r="D1686" s="8"/>
      <c r="E1686" s="8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0" customHeight="1">
      <c r="A1687" s="32">
        <v>1685.0</v>
      </c>
      <c r="B1687" s="4"/>
      <c r="C1687" s="4"/>
      <c r="D1687" s="8"/>
      <c r="E1687" s="8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0" customHeight="1">
      <c r="A1688" s="32">
        <v>1686.0</v>
      </c>
      <c r="B1688" s="4"/>
      <c r="C1688" s="4"/>
      <c r="D1688" s="8"/>
      <c r="E1688" s="8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0" customHeight="1">
      <c r="A1689" s="32">
        <v>1687.0</v>
      </c>
      <c r="B1689" s="4"/>
      <c r="C1689" s="4"/>
      <c r="D1689" s="8"/>
      <c r="E1689" s="8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0" customHeight="1">
      <c r="A1690" s="32">
        <v>1688.0</v>
      </c>
      <c r="B1690" s="4"/>
      <c r="C1690" s="4"/>
      <c r="D1690" s="8"/>
      <c r="E1690" s="8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0" customHeight="1">
      <c r="A1691" s="32">
        <v>1689.0</v>
      </c>
      <c r="B1691" s="4"/>
      <c r="C1691" s="4"/>
      <c r="D1691" s="8"/>
      <c r="E1691" s="8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0" customHeight="1">
      <c r="A1692" s="32">
        <v>1690.0</v>
      </c>
      <c r="B1692" s="4"/>
      <c r="C1692" s="4"/>
      <c r="D1692" s="8"/>
      <c r="E1692" s="8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0" customHeight="1">
      <c r="A1693" s="32">
        <v>1691.0</v>
      </c>
      <c r="B1693" s="4"/>
      <c r="C1693" s="4"/>
      <c r="D1693" s="8"/>
      <c r="E1693" s="8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0" customHeight="1">
      <c r="A1694" s="32">
        <v>1692.0</v>
      </c>
      <c r="B1694" s="4"/>
      <c r="C1694" s="4"/>
      <c r="D1694" s="8"/>
      <c r="E1694" s="8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0" customHeight="1">
      <c r="A1695" s="32">
        <v>1693.0</v>
      </c>
      <c r="B1695" s="4"/>
      <c r="C1695" s="4"/>
      <c r="D1695" s="8"/>
      <c r="E1695" s="8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0" customHeight="1">
      <c r="A1696" s="32">
        <v>1694.0</v>
      </c>
      <c r="B1696" s="4"/>
      <c r="C1696" s="4"/>
      <c r="D1696" s="8"/>
      <c r="E1696" s="8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0" customHeight="1">
      <c r="A1697" s="32">
        <v>1695.0</v>
      </c>
      <c r="B1697" s="4"/>
      <c r="C1697" s="4"/>
      <c r="D1697" s="8"/>
      <c r="E1697" s="8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0" customHeight="1">
      <c r="A1698" s="32">
        <v>1696.0</v>
      </c>
      <c r="B1698" s="4"/>
      <c r="C1698" s="4"/>
      <c r="D1698" s="8"/>
      <c r="E1698" s="8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0" customHeight="1">
      <c r="A1699" s="32">
        <v>1697.0</v>
      </c>
      <c r="B1699" s="4"/>
      <c r="C1699" s="4"/>
      <c r="D1699" s="8"/>
      <c r="E1699" s="8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0" customHeight="1">
      <c r="A1700" s="32">
        <v>1698.0</v>
      </c>
      <c r="B1700" s="4"/>
      <c r="C1700" s="4"/>
      <c r="D1700" s="8"/>
      <c r="E1700" s="8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0" customHeight="1">
      <c r="A1701" s="32">
        <v>1699.0</v>
      </c>
      <c r="B1701" s="4"/>
      <c r="C1701" s="4"/>
      <c r="D1701" s="8"/>
      <c r="E1701" s="8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</sheetData>
  <mergeCells count="1">
    <mergeCell ref="A1:C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14"/>
    <col customWidth="1" min="2" max="2" width="15.71"/>
    <col customWidth="1" min="3" max="3" width="100.57"/>
    <col customWidth="1" min="4" max="4" width="44.71"/>
    <col customWidth="1" min="5" max="5" width="22.71"/>
    <col customWidth="1" min="6" max="25" width="8.71"/>
  </cols>
  <sheetData>
    <row r="1" ht="34.5" customHeight="1">
      <c r="A1" s="35" t="s">
        <v>1147</v>
      </c>
      <c r="B1" s="2"/>
      <c r="C1" s="2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1.0" customHeight="1">
      <c r="A2" s="36" t="s">
        <v>1</v>
      </c>
      <c r="B2" s="37" t="s">
        <v>2</v>
      </c>
      <c r="C2" s="37" t="s">
        <v>3</v>
      </c>
      <c r="D2" s="37" t="s">
        <v>1148</v>
      </c>
      <c r="E2" s="37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32">
        <v>25.0</v>
      </c>
      <c r="B3" s="34" t="s">
        <v>1149</v>
      </c>
      <c r="C3" s="4" t="s">
        <v>1150</v>
      </c>
      <c r="D3" s="8" t="s">
        <v>1151</v>
      </c>
      <c r="E3" s="4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32">
        <v>26.0</v>
      </c>
      <c r="B4" s="34" t="s">
        <v>1152</v>
      </c>
      <c r="C4" s="4" t="s">
        <v>1153</v>
      </c>
      <c r="D4" s="8" t="s">
        <v>764</v>
      </c>
      <c r="E4" s="4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32">
        <v>27.0</v>
      </c>
      <c r="B5" s="34" t="s">
        <v>1152</v>
      </c>
      <c r="C5" s="4" t="s">
        <v>1154</v>
      </c>
      <c r="D5" s="8" t="s">
        <v>764</v>
      </c>
      <c r="E5" s="4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32">
        <v>28.0</v>
      </c>
      <c r="B6" s="34" t="s">
        <v>1155</v>
      </c>
      <c r="C6" s="4" t="s">
        <v>1156</v>
      </c>
      <c r="D6" s="8" t="s">
        <v>764</v>
      </c>
      <c r="E6" s="4" t="s">
        <v>147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32">
        <v>29.0</v>
      </c>
      <c r="B7" s="34" t="s">
        <v>1157</v>
      </c>
      <c r="C7" s="4" t="s">
        <v>1158</v>
      </c>
      <c r="D7" s="8" t="s">
        <v>764</v>
      </c>
      <c r="E7" s="4" t="s">
        <v>35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32">
        <v>30.0</v>
      </c>
      <c r="B8" s="15"/>
      <c r="C8" s="15"/>
      <c r="D8" s="22"/>
      <c r="E8" s="1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32">
        <v>31.0</v>
      </c>
      <c r="B9" s="4"/>
      <c r="C9" s="4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32">
        <v>32.0</v>
      </c>
      <c r="B10" s="4"/>
      <c r="C10" s="4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32">
        <v>33.0</v>
      </c>
      <c r="B11" s="4"/>
      <c r="C11" s="4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32">
        <v>34.0</v>
      </c>
      <c r="B12" s="4"/>
      <c r="C12" s="4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32">
        <v>35.0</v>
      </c>
      <c r="B13" s="4"/>
      <c r="C13" s="4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32">
        <v>36.0</v>
      </c>
      <c r="B14" s="4"/>
      <c r="C14" s="4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32">
        <v>37.0</v>
      </c>
      <c r="B15" s="4"/>
      <c r="C15" s="4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32">
        <v>38.0</v>
      </c>
      <c r="B16" s="4"/>
      <c r="C16" s="4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32">
        <v>39.0</v>
      </c>
      <c r="B17" s="4"/>
      <c r="C17" s="4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32">
        <v>40.0</v>
      </c>
      <c r="B18" s="4"/>
      <c r="C18" s="4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32">
        <v>41.0</v>
      </c>
      <c r="B19" s="4"/>
      <c r="C19" s="4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32">
        <v>42.0</v>
      </c>
      <c r="B20" s="4"/>
      <c r="C20" s="4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32">
        <v>43.0</v>
      </c>
      <c r="B21" s="4"/>
      <c r="C21" s="4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32">
        <v>44.0</v>
      </c>
      <c r="B22" s="4"/>
      <c r="C22" s="4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32">
        <v>45.0</v>
      </c>
      <c r="B23" s="4"/>
      <c r="C23" s="4"/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32">
        <v>46.0</v>
      </c>
      <c r="B24" s="4"/>
      <c r="C24" s="4"/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32">
        <v>47.0</v>
      </c>
      <c r="B25" s="4"/>
      <c r="C25" s="4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32">
        <v>48.0</v>
      </c>
      <c r="B26" s="4"/>
      <c r="C26" s="4"/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32">
        <v>49.0</v>
      </c>
      <c r="B27" s="4"/>
      <c r="C27" s="4"/>
      <c r="D27" s="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32">
        <v>50.0</v>
      </c>
      <c r="B28" s="4"/>
      <c r="C28" s="4"/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32">
        <v>51.0</v>
      </c>
      <c r="B29" s="4"/>
      <c r="C29" s="4"/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32">
        <v>52.0</v>
      </c>
      <c r="B30" s="4"/>
      <c r="C30" s="4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32">
        <v>53.0</v>
      </c>
      <c r="B31" s="4"/>
      <c r="C31" s="4"/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32">
        <v>54.0</v>
      </c>
      <c r="B32" s="4"/>
      <c r="C32" s="4"/>
      <c r="D32" s="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32">
        <v>55.0</v>
      </c>
      <c r="B33" s="4"/>
      <c r="C33" s="4"/>
      <c r="D33" s="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32">
        <v>56.0</v>
      </c>
      <c r="B34" s="4"/>
      <c r="C34" s="4"/>
      <c r="D34" s="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32">
        <v>57.0</v>
      </c>
      <c r="B35" s="4"/>
      <c r="C35" s="4"/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32">
        <v>58.0</v>
      </c>
      <c r="B36" s="4"/>
      <c r="C36" s="4"/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32">
        <v>59.0</v>
      </c>
      <c r="B37" s="4"/>
      <c r="C37" s="4"/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32">
        <v>60.0</v>
      </c>
      <c r="B38" s="4"/>
      <c r="C38" s="4"/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32">
        <v>61.0</v>
      </c>
      <c r="B39" s="4"/>
      <c r="C39" s="4"/>
      <c r="D39" s="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32">
        <v>62.0</v>
      </c>
      <c r="B40" s="4"/>
      <c r="C40" s="4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32">
        <v>63.0</v>
      </c>
      <c r="B41" s="4"/>
      <c r="C41" s="4"/>
      <c r="D41" s="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32">
        <v>64.0</v>
      </c>
      <c r="B42" s="4"/>
      <c r="C42" s="4"/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32">
        <v>65.0</v>
      </c>
      <c r="B43" s="4"/>
      <c r="C43" s="4"/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32">
        <v>66.0</v>
      </c>
      <c r="B44" s="4"/>
      <c r="C44" s="4"/>
      <c r="D44" s="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32">
        <v>67.0</v>
      </c>
      <c r="B45" s="4"/>
      <c r="C45" s="4"/>
      <c r="D45" s="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32">
        <v>68.0</v>
      </c>
      <c r="B46" s="4"/>
      <c r="C46" s="4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32">
        <v>69.0</v>
      </c>
      <c r="B47" s="4"/>
      <c r="C47" s="4"/>
      <c r="D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32">
        <v>70.0</v>
      </c>
      <c r="B48" s="4"/>
      <c r="C48" s="4"/>
      <c r="D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32">
        <v>71.0</v>
      </c>
      <c r="B49" s="4"/>
      <c r="C49" s="4"/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32">
        <v>72.0</v>
      </c>
      <c r="B50" s="4"/>
      <c r="C50" s="4"/>
      <c r="D50" s="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32">
        <v>73.0</v>
      </c>
      <c r="B51" s="4"/>
      <c r="C51" s="4"/>
      <c r="D51" s="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32">
        <v>74.0</v>
      </c>
      <c r="B52" s="4"/>
      <c r="C52" s="4"/>
      <c r="D52" s="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32">
        <v>75.0</v>
      </c>
      <c r="B53" s="4"/>
      <c r="C53" s="4"/>
      <c r="D53" s="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32">
        <v>76.0</v>
      </c>
      <c r="B54" s="4"/>
      <c r="C54" s="4"/>
      <c r="D54" s="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32">
        <v>77.0</v>
      </c>
      <c r="B55" s="4"/>
      <c r="C55" s="4"/>
      <c r="D55" s="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32">
        <v>78.0</v>
      </c>
      <c r="B56" s="4"/>
      <c r="C56" s="4"/>
      <c r="D56" s="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32">
        <v>79.0</v>
      </c>
      <c r="B57" s="4"/>
      <c r="C57" s="4"/>
      <c r="D57" s="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32">
        <v>80.0</v>
      </c>
      <c r="B58" s="4"/>
      <c r="C58" s="4"/>
      <c r="D58" s="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32">
        <v>81.0</v>
      </c>
      <c r="B59" s="4"/>
      <c r="C59" s="4"/>
      <c r="D59" s="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32">
        <v>82.0</v>
      </c>
      <c r="B60" s="4"/>
      <c r="C60" s="4"/>
      <c r="D60" s="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32">
        <v>83.0</v>
      </c>
      <c r="B61" s="4"/>
      <c r="C61" s="4"/>
      <c r="D61" s="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32">
        <v>84.0</v>
      </c>
      <c r="B62" s="4"/>
      <c r="C62" s="4"/>
      <c r="D62" s="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32">
        <v>85.0</v>
      </c>
      <c r="B63" s="4"/>
      <c r="C63" s="4"/>
      <c r="D63" s="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32">
        <v>86.0</v>
      </c>
      <c r="B64" s="4"/>
      <c r="C64" s="4"/>
      <c r="D64" s="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32">
        <v>87.0</v>
      </c>
      <c r="B65" s="4"/>
      <c r="C65" s="4"/>
      <c r="D65" s="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32">
        <v>88.0</v>
      </c>
      <c r="B66" s="4"/>
      <c r="C66" s="4"/>
      <c r="D66" s="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32">
        <v>89.0</v>
      </c>
      <c r="B67" s="4"/>
      <c r="C67" s="4"/>
      <c r="D67" s="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32">
        <v>90.0</v>
      </c>
      <c r="B68" s="4"/>
      <c r="C68" s="4"/>
      <c r="D68" s="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32">
        <v>91.0</v>
      </c>
      <c r="B69" s="4"/>
      <c r="C69" s="4"/>
      <c r="D69" s="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32">
        <v>92.0</v>
      </c>
      <c r="B70" s="4"/>
      <c r="C70" s="4"/>
      <c r="D70" s="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32">
        <v>93.0</v>
      </c>
      <c r="B71" s="4"/>
      <c r="C71" s="4"/>
      <c r="D71" s="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32">
        <v>94.0</v>
      </c>
      <c r="B72" s="4"/>
      <c r="C72" s="4"/>
      <c r="D72" s="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32">
        <v>95.0</v>
      </c>
      <c r="B73" s="4"/>
      <c r="C73" s="4"/>
      <c r="D73" s="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32">
        <v>96.0</v>
      </c>
      <c r="B74" s="4"/>
      <c r="C74" s="4"/>
      <c r="D74" s="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32">
        <v>97.0</v>
      </c>
      <c r="B75" s="4"/>
      <c r="C75" s="4"/>
      <c r="D75" s="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32">
        <v>98.0</v>
      </c>
      <c r="B76" s="4"/>
      <c r="C76" s="4"/>
      <c r="D76" s="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32">
        <v>99.0</v>
      </c>
      <c r="B77" s="4"/>
      <c r="C77" s="4"/>
      <c r="D77" s="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32">
        <v>100.0</v>
      </c>
      <c r="B78" s="4"/>
      <c r="C78" s="4"/>
      <c r="D78" s="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32">
        <v>101.0</v>
      </c>
      <c r="B79" s="4"/>
      <c r="C79" s="4"/>
      <c r="D79" s="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32">
        <v>102.0</v>
      </c>
      <c r="B80" s="4"/>
      <c r="C80" s="4"/>
      <c r="D80" s="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32">
        <v>103.0</v>
      </c>
      <c r="B81" s="4"/>
      <c r="C81" s="4"/>
      <c r="D81" s="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32">
        <v>104.0</v>
      </c>
      <c r="B82" s="4"/>
      <c r="C82" s="4"/>
      <c r="D82" s="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32">
        <v>105.0</v>
      </c>
      <c r="B83" s="4"/>
      <c r="C83" s="4"/>
      <c r="D83" s="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32">
        <v>106.0</v>
      </c>
      <c r="B84" s="4"/>
      <c r="C84" s="4"/>
      <c r="D84" s="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32">
        <v>107.0</v>
      </c>
      <c r="B85" s="4"/>
      <c r="C85" s="4"/>
      <c r="D85" s="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32">
        <v>108.0</v>
      </c>
      <c r="B86" s="4"/>
      <c r="C86" s="4"/>
      <c r="D86" s="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32">
        <v>109.0</v>
      </c>
      <c r="B87" s="4"/>
      <c r="C87" s="4"/>
      <c r="D87" s="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32">
        <v>110.0</v>
      </c>
      <c r="B88" s="4"/>
      <c r="C88" s="4"/>
      <c r="D88" s="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32">
        <v>111.0</v>
      </c>
      <c r="B89" s="4"/>
      <c r="C89" s="4"/>
      <c r="D89" s="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32">
        <v>112.0</v>
      </c>
      <c r="B90" s="4"/>
      <c r="C90" s="4"/>
      <c r="D90" s="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32">
        <v>113.0</v>
      </c>
      <c r="B91" s="4"/>
      <c r="C91" s="4"/>
      <c r="D91" s="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32">
        <v>114.0</v>
      </c>
      <c r="B92" s="4"/>
      <c r="C92" s="4"/>
      <c r="D92" s="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32">
        <v>115.0</v>
      </c>
      <c r="B93" s="4"/>
      <c r="C93" s="4"/>
      <c r="D93" s="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32">
        <v>116.0</v>
      </c>
      <c r="B94" s="4"/>
      <c r="C94" s="4"/>
      <c r="D94" s="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32">
        <v>117.0</v>
      </c>
      <c r="B95" s="4"/>
      <c r="C95" s="4"/>
      <c r="D95" s="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32">
        <v>118.0</v>
      </c>
      <c r="B96" s="4"/>
      <c r="C96" s="4"/>
      <c r="D96" s="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32">
        <v>119.0</v>
      </c>
      <c r="B97" s="4"/>
      <c r="C97" s="4"/>
      <c r="D97" s="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32">
        <v>120.0</v>
      </c>
      <c r="B98" s="4"/>
      <c r="C98" s="4"/>
      <c r="D98" s="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32">
        <v>121.0</v>
      </c>
      <c r="B99" s="4"/>
      <c r="C99" s="4"/>
      <c r="D99" s="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32">
        <v>122.0</v>
      </c>
      <c r="B100" s="4"/>
      <c r="C100" s="4"/>
      <c r="D100" s="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32">
        <v>123.0</v>
      </c>
      <c r="B101" s="4"/>
      <c r="C101" s="4"/>
      <c r="D101" s="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32">
        <v>124.0</v>
      </c>
      <c r="B102" s="4"/>
      <c r="C102" s="4"/>
      <c r="D102" s="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32">
        <v>125.0</v>
      </c>
      <c r="B103" s="4"/>
      <c r="C103" s="4"/>
      <c r="D103" s="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32">
        <v>126.0</v>
      </c>
      <c r="B104" s="4"/>
      <c r="C104" s="4"/>
      <c r="D104" s="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32">
        <v>127.0</v>
      </c>
      <c r="B105" s="4"/>
      <c r="C105" s="4"/>
      <c r="D105" s="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32">
        <v>128.0</v>
      </c>
      <c r="B106" s="4"/>
      <c r="C106" s="4"/>
      <c r="D106" s="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32">
        <v>129.0</v>
      </c>
      <c r="B107" s="4"/>
      <c r="C107" s="4"/>
      <c r="D107" s="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32">
        <v>130.0</v>
      </c>
      <c r="B108" s="4"/>
      <c r="C108" s="4"/>
      <c r="D108" s="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32">
        <v>131.0</v>
      </c>
      <c r="B109" s="4"/>
      <c r="C109" s="4"/>
      <c r="D109" s="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32">
        <v>132.0</v>
      </c>
      <c r="B110" s="4"/>
      <c r="C110" s="4"/>
      <c r="D110" s="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32">
        <v>133.0</v>
      </c>
      <c r="B111" s="4"/>
      <c r="C111" s="4"/>
      <c r="D111" s="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32">
        <v>134.0</v>
      </c>
      <c r="B112" s="4"/>
      <c r="C112" s="4"/>
      <c r="D112" s="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32">
        <v>135.0</v>
      </c>
      <c r="B113" s="4"/>
      <c r="C113" s="4"/>
      <c r="D113" s="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32">
        <v>136.0</v>
      </c>
      <c r="B114" s="4"/>
      <c r="C114" s="4"/>
      <c r="D114" s="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32">
        <v>137.0</v>
      </c>
      <c r="B115" s="4"/>
      <c r="C115" s="4"/>
      <c r="D115" s="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32">
        <v>138.0</v>
      </c>
      <c r="B116" s="4"/>
      <c r="C116" s="4"/>
      <c r="D116" s="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32">
        <v>139.0</v>
      </c>
      <c r="B117" s="4"/>
      <c r="C117" s="4"/>
      <c r="D117" s="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32">
        <v>140.0</v>
      </c>
      <c r="B118" s="4"/>
      <c r="C118" s="4"/>
      <c r="D118" s="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32">
        <v>141.0</v>
      </c>
      <c r="B119" s="4"/>
      <c r="C119" s="4"/>
      <c r="D119" s="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32">
        <v>142.0</v>
      </c>
      <c r="B120" s="4"/>
      <c r="C120" s="4"/>
      <c r="D120" s="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32">
        <v>143.0</v>
      </c>
      <c r="B121" s="4"/>
      <c r="C121" s="4"/>
      <c r="D121" s="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32">
        <v>144.0</v>
      </c>
      <c r="B122" s="4"/>
      <c r="C122" s="4"/>
      <c r="D122" s="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32">
        <v>145.0</v>
      </c>
      <c r="B123" s="4"/>
      <c r="C123" s="4"/>
      <c r="D123" s="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32">
        <v>146.0</v>
      </c>
      <c r="B124" s="4"/>
      <c r="C124" s="4"/>
      <c r="D124" s="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32">
        <v>147.0</v>
      </c>
      <c r="B125" s="4"/>
      <c r="C125" s="4"/>
      <c r="D125" s="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32">
        <v>148.0</v>
      </c>
      <c r="B126" s="4"/>
      <c r="C126" s="4"/>
      <c r="D126" s="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32">
        <v>149.0</v>
      </c>
      <c r="B127" s="4"/>
      <c r="C127" s="4"/>
      <c r="D127" s="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32">
        <v>150.0</v>
      </c>
      <c r="B128" s="4"/>
      <c r="C128" s="4"/>
      <c r="D128" s="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32">
        <v>151.0</v>
      </c>
      <c r="B129" s="4"/>
      <c r="C129" s="4"/>
      <c r="D129" s="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32">
        <v>152.0</v>
      </c>
      <c r="B130" s="4"/>
      <c r="C130" s="4"/>
      <c r="D130" s="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32">
        <v>153.0</v>
      </c>
      <c r="B131" s="4"/>
      <c r="C131" s="4"/>
      <c r="D131" s="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32">
        <v>154.0</v>
      </c>
      <c r="B132" s="4"/>
      <c r="C132" s="4"/>
      <c r="D132" s="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32">
        <v>155.0</v>
      </c>
      <c r="B133" s="4"/>
      <c r="C133" s="4"/>
      <c r="D133" s="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32">
        <v>156.0</v>
      </c>
      <c r="B134" s="4"/>
      <c r="C134" s="4"/>
      <c r="D134" s="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32">
        <v>157.0</v>
      </c>
      <c r="B135" s="4"/>
      <c r="C135" s="4"/>
      <c r="D135" s="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32">
        <v>158.0</v>
      </c>
      <c r="B136" s="4"/>
      <c r="C136" s="4"/>
      <c r="D136" s="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32">
        <v>159.0</v>
      </c>
      <c r="B137" s="4"/>
      <c r="C137" s="4"/>
      <c r="D137" s="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32">
        <v>160.0</v>
      </c>
      <c r="B138" s="4"/>
      <c r="C138" s="4"/>
      <c r="D138" s="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32">
        <v>161.0</v>
      </c>
      <c r="B139" s="4"/>
      <c r="C139" s="4"/>
      <c r="D139" s="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32">
        <v>162.0</v>
      </c>
      <c r="B140" s="4"/>
      <c r="C140" s="4"/>
      <c r="D140" s="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32">
        <v>163.0</v>
      </c>
      <c r="B141" s="4"/>
      <c r="C141" s="4"/>
      <c r="D141" s="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32">
        <v>164.0</v>
      </c>
      <c r="B142" s="4"/>
      <c r="C142" s="4"/>
      <c r="D142" s="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32">
        <v>165.0</v>
      </c>
      <c r="B143" s="4"/>
      <c r="C143" s="4"/>
      <c r="D143" s="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32">
        <v>166.0</v>
      </c>
      <c r="B144" s="4"/>
      <c r="C144" s="4"/>
      <c r="D144" s="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32">
        <v>167.0</v>
      </c>
      <c r="B145" s="4"/>
      <c r="C145" s="4"/>
      <c r="D145" s="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32">
        <v>168.0</v>
      </c>
      <c r="B146" s="4"/>
      <c r="C146" s="4"/>
      <c r="D146" s="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32">
        <v>169.0</v>
      </c>
      <c r="B147" s="4"/>
      <c r="C147" s="4"/>
      <c r="D147" s="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32">
        <v>170.0</v>
      </c>
      <c r="B148" s="4"/>
      <c r="C148" s="4"/>
      <c r="D148" s="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32">
        <v>171.0</v>
      </c>
      <c r="B149" s="4"/>
      <c r="C149" s="4"/>
      <c r="D149" s="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32">
        <v>172.0</v>
      </c>
      <c r="B150" s="4"/>
      <c r="C150" s="4"/>
      <c r="D150" s="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32">
        <v>173.0</v>
      </c>
      <c r="B151" s="4"/>
      <c r="C151" s="4"/>
      <c r="D151" s="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32">
        <v>174.0</v>
      </c>
      <c r="B152" s="4"/>
      <c r="C152" s="4"/>
      <c r="D152" s="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32">
        <v>175.0</v>
      </c>
      <c r="B153" s="4"/>
      <c r="C153" s="4"/>
      <c r="D153" s="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32">
        <v>176.0</v>
      </c>
      <c r="B154" s="4"/>
      <c r="C154" s="4"/>
      <c r="D154" s="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32">
        <v>177.0</v>
      </c>
      <c r="B155" s="4"/>
      <c r="C155" s="4"/>
      <c r="D155" s="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32">
        <v>178.0</v>
      </c>
      <c r="B156" s="4"/>
      <c r="C156" s="4"/>
      <c r="D156" s="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32">
        <v>179.0</v>
      </c>
      <c r="B157" s="4"/>
      <c r="C157" s="4"/>
      <c r="D157" s="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32">
        <v>180.0</v>
      </c>
      <c r="B158" s="4"/>
      <c r="C158" s="4"/>
      <c r="D158" s="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32">
        <v>181.0</v>
      </c>
      <c r="B159" s="4"/>
      <c r="C159" s="4"/>
      <c r="D159" s="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32">
        <v>182.0</v>
      </c>
      <c r="B160" s="4"/>
      <c r="C160" s="4"/>
      <c r="D160" s="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32">
        <v>183.0</v>
      </c>
      <c r="B161" s="4"/>
      <c r="C161" s="4"/>
      <c r="D161" s="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32">
        <v>184.0</v>
      </c>
      <c r="B162" s="4"/>
      <c r="C162" s="4"/>
      <c r="D162" s="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32">
        <v>185.0</v>
      </c>
      <c r="B163" s="4"/>
      <c r="C163" s="4"/>
      <c r="D163" s="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32">
        <v>186.0</v>
      </c>
      <c r="B164" s="4"/>
      <c r="C164" s="4"/>
      <c r="D164" s="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32">
        <v>187.0</v>
      </c>
      <c r="B165" s="4"/>
      <c r="C165" s="4"/>
      <c r="D165" s="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32">
        <v>188.0</v>
      </c>
      <c r="B166" s="4"/>
      <c r="C166" s="4"/>
      <c r="D166" s="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32">
        <v>189.0</v>
      </c>
      <c r="B167" s="4"/>
      <c r="C167" s="4"/>
      <c r="D167" s="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32">
        <v>190.0</v>
      </c>
      <c r="B168" s="4"/>
      <c r="C168" s="4"/>
      <c r="D168" s="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32">
        <v>191.0</v>
      </c>
      <c r="B169" s="4"/>
      <c r="C169" s="4"/>
      <c r="D169" s="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32">
        <v>192.0</v>
      </c>
      <c r="B170" s="4"/>
      <c r="C170" s="4"/>
      <c r="D170" s="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32">
        <v>193.0</v>
      </c>
      <c r="B171" s="4"/>
      <c r="C171" s="4"/>
      <c r="D171" s="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32">
        <v>194.0</v>
      </c>
      <c r="B172" s="4"/>
      <c r="C172" s="4"/>
      <c r="D172" s="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32">
        <v>195.0</v>
      </c>
      <c r="B173" s="4"/>
      <c r="C173" s="4"/>
      <c r="D173" s="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32">
        <v>196.0</v>
      </c>
      <c r="B174" s="4"/>
      <c r="C174" s="4"/>
      <c r="D174" s="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32">
        <v>197.0</v>
      </c>
      <c r="B175" s="4"/>
      <c r="C175" s="4"/>
      <c r="D175" s="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32">
        <v>198.0</v>
      </c>
      <c r="B176" s="4"/>
      <c r="C176" s="4"/>
      <c r="D176" s="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32">
        <v>199.0</v>
      </c>
      <c r="B177" s="4"/>
      <c r="C177" s="4"/>
      <c r="D177" s="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32">
        <v>200.0</v>
      </c>
      <c r="B178" s="4"/>
      <c r="C178" s="4"/>
      <c r="D178" s="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32">
        <v>201.0</v>
      </c>
      <c r="B179" s="4"/>
      <c r="C179" s="4"/>
      <c r="D179" s="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32">
        <v>202.0</v>
      </c>
      <c r="B180" s="4"/>
      <c r="C180" s="4"/>
      <c r="D180" s="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32">
        <v>203.0</v>
      </c>
      <c r="B181" s="4"/>
      <c r="C181" s="4"/>
      <c r="D181" s="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32">
        <v>204.0</v>
      </c>
      <c r="B182" s="4"/>
      <c r="C182" s="4"/>
      <c r="D182" s="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32">
        <v>205.0</v>
      </c>
      <c r="B183" s="4"/>
      <c r="C183" s="4"/>
      <c r="D183" s="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32">
        <v>206.0</v>
      </c>
      <c r="B184" s="4"/>
      <c r="C184" s="4"/>
      <c r="D184" s="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32">
        <v>207.0</v>
      </c>
      <c r="B185" s="4"/>
      <c r="C185" s="4"/>
      <c r="D185" s="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32">
        <v>208.0</v>
      </c>
      <c r="B186" s="4"/>
      <c r="C186" s="4"/>
      <c r="D186" s="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32">
        <v>209.0</v>
      </c>
      <c r="B187" s="4"/>
      <c r="C187" s="4"/>
      <c r="D187" s="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32">
        <v>210.0</v>
      </c>
      <c r="B188" s="4"/>
      <c r="C188" s="4"/>
      <c r="D188" s="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32">
        <v>211.0</v>
      </c>
      <c r="B189" s="4"/>
      <c r="C189" s="4"/>
      <c r="D189" s="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32">
        <v>212.0</v>
      </c>
      <c r="B190" s="4"/>
      <c r="C190" s="4"/>
      <c r="D190" s="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32">
        <v>213.0</v>
      </c>
      <c r="B191" s="4"/>
      <c r="C191" s="4"/>
      <c r="D191" s="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32">
        <v>214.0</v>
      </c>
      <c r="B192" s="4"/>
      <c r="C192" s="4"/>
      <c r="D192" s="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32">
        <v>215.0</v>
      </c>
      <c r="B193" s="4"/>
      <c r="C193" s="4"/>
      <c r="D193" s="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32">
        <v>216.0</v>
      </c>
      <c r="B194" s="4"/>
      <c r="C194" s="4"/>
      <c r="D194" s="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32">
        <v>217.0</v>
      </c>
      <c r="B195" s="4"/>
      <c r="C195" s="4"/>
      <c r="D195" s="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32">
        <v>218.0</v>
      </c>
      <c r="B196" s="4"/>
      <c r="C196" s="4"/>
      <c r="D196" s="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32">
        <v>219.0</v>
      </c>
      <c r="B197" s="4"/>
      <c r="C197" s="4"/>
      <c r="D197" s="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32">
        <v>220.0</v>
      </c>
      <c r="B198" s="4"/>
      <c r="C198" s="4"/>
      <c r="D198" s="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32">
        <v>221.0</v>
      </c>
      <c r="B199" s="4"/>
      <c r="C199" s="4"/>
      <c r="D199" s="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32">
        <v>222.0</v>
      </c>
      <c r="B200" s="4"/>
      <c r="C200" s="4"/>
      <c r="D200" s="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32">
        <v>223.0</v>
      </c>
      <c r="B201" s="4"/>
      <c r="C201" s="4"/>
      <c r="D201" s="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32">
        <v>224.0</v>
      </c>
      <c r="B202" s="4"/>
      <c r="C202" s="4"/>
      <c r="D202" s="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32">
        <v>225.0</v>
      </c>
      <c r="B203" s="4"/>
      <c r="C203" s="4"/>
      <c r="D203" s="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32">
        <v>226.0</v>
      </c>
      <c r="B204" s="4"/>
      <c r="C204" s="4"/>
      <c r="D204" s="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32">
        <v>227.0</v>
      </c>
      <c r="B205" s="4"/>
      <c r="C205" s="4"/>
      <c r="D205" s="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32">
        <v>228.0</v>
      </c>
      <c r="B206" s="4"/>
      <c r="C206" s="4"/>
      <c r="D206" s="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32">
        <v>229.0</v>
      </c>
      <c r="B207" s="4"/>
      <c r="C207" s="4"/>
      <c r="D207" s="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32">
        <v>230.0</v>
      </c>
      <c r="B208" s="4"/>
      <c r="C208" s="4"/>
      <c r="D208" s="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32">
        <v>231.0</v>
      </c>
      <c r="B209" s="4"/>
      <c r="C209" s="4"/>
      <c r="D209" s="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32">
        <v>232.0</v>
      </c>
      <c r="B210" s="4"/>
      <c r="C210" s="4"/>
      <c r="D210" s="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32">
        <v>233.0</v>
      </c>
      <c r="B211" s="4"/>
      <c r="C211" s="4"/>
      <c r="D211" s="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32">
        <v>234.0</v>
      </c>
      <c r="B212" s="4"/>
      <c r="C212" s="4"/>
      <c r="D212" s="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32">
        <v>235.0</v>
      </c>
      <c r="B213" s="4"/>
      <c r="C213" s="4"/>
      <c r="D213" s="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32">
        <v>236.0</v>
      </c>
      <c r="B214" s="4"/>
      <c r="C214" s="4"/>
      <c r="D214" s="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32">
        <v>237.0</v>
      </c>
      <c r="B215" s="4"/>
      <c r="C215" s="4"/>
      <c r="D215" s="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32">
        <v>238.0</v>
      </c>
      <c r="B216" s="4"/>
      <c r="C216" s="4"/>
      <c r="D216" s="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32">
        <v>239.0</v>
      </c>
      <c r="B217" s="4"/>
      <c r="C217" s="4"/>
      <c r="D217" s="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32">
        <v>240.0</v>
      </c>
      <c r="B218" s="4"/>
      <c r="C218" s="4"/>
      <c r="D218" s="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32">
        <v>241.0</v>
      </c>
      <c r="B219" s="4"/>
      <c r="C219" s="4"/>
      <c r="D219" s="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32">
        <v>242.0</v>
      </c>
      <c r="B220" s="4"/>
      <c r="C220" s="4"/>
      <c r="D220" s="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32">
        <v>243.0</v>
      </c>
      <c r="B221" s="4"/>
      <c r="C221" s="4"/>
      <c r="D221" s="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32">
        <v>244.0</v>
      </c>
      <c r="B222" s="4"/>
      <c r="C222" s="4"/>
      <c r="D222" s="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32">
        <v>245.0</v>
      </c>
      <c r="B223" s="4"/>
      <c r="C223" s="4"/>
      <c r="D223" s="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32">
        <v>246.0</v>
      </c>
      <c r="B224" s="4"/>
      <c r="C224" s="4"/>
      <c r="D224" s="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32">
        <v>247.0</v>
      </c>
      <c r="B225" s="4"/>
      <c r="C225" s="4"/>
      <c r="D225" s="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32">
        <v>248.0</v>
      </c>
      <c r="B226" s="4"/>
      <c r="C226" s="4"/>
      <c r="D226" s="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32">
        <v>249.0</v>
      </c>
      <c r="B227" s="4"/>
      <c r="C227" s="4"/>
      <c r="D227" s="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32">
        <v>250.0</v>
      </c>
      <c r="B228" s="4"/>
      <c r="C228" s="4"/>
      <c r="D228" s="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32">
        <v>251.0</v>
      </c>
      <c r="B229" s="4"/>
      <c r="C229" s="4"/>
      <c r="D229" s="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32">
        <v>252.0</v>
      </c>
      <c r="B230" s="4"/>
      <c r="C230" s="4"/>
      <c r="D230" s="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32">
        <v>253.0</v>
      </c>
      <c r="B231" s="4"/>
      <c r="C231" s="4"/>
      <c r="D231" s="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32">
        <v>254.0</v>
      </c>
      <c r="B232" s="4"/>
      <c r="C232" s="4"/>
      <c r="D232" s="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32">
        <v>255.0</v>
      </c>
      <c r="B233" s="4"/>
      <c r="C233" s="4"/>
      <c r="D233" s="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32">
        <v>256.0</v>
      </c>
      <c r="B234" s="4"/>
      <c r="C234" s="4"/>
      <c r="D234" s="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32">
        <v>257.0</v>
      </c>
      <c r="B235" s="4"/>
      <c r="C235" s="4"/>
      <c r="D235" s="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32">
        <v>258.0</v>
      </c>
      <c r="B236" s="4"/>
      <c r="C236" s="4"/>
      <c r="D236" s="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32">
        <v>259.0</v>
      </c>
      <c r="B237" s="4"/>
      <c r="C237" s="4"/>
      <c r="D237" s="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32">
        <v>260.0</v>
      </c>
      <c r="B238" s="4"/>
      <c r="C238" s="4"/>
      <c r="D238" s="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32">
        <v>261.0</v>
      </c>
      <c r="B239" s="4"/>
      <c r="C239" s="4"/>
      <c r="D239" s="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32">
        <v>262.0</v>
      </c>
      <c r="B240" s="4"/>
      <c r="C240" s="4"/>
      <c r="D240" s="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32">
        <v>263.0</v>
      </c>
      <c r="B241" s="4"/>
      <c r="C241" s="4"/>
      <c r="D241" s="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32">
        <v>264.0</v>
      </c>
      <c r="B242" s="4"/>
      <c r="C242" s="4"/>
      <c r="D242" s="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32">
        <v>265.0</v>
      </c>
      <c r="B243" s="4"/>
      <c r="C243" s="4"/>
      <c r="D243" s="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32">
        <v>266.0</v>
      </c>
      <c r="B244" s="4"/>
      <c r="C244" s="4"/>
      <c r="D244" s="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32">
        <v>267.0</v>
      </c>
      <c r="B245" s="4"/>
      <c r="C245" s="4"/>
      <c r="D245" s="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32">
        <v>268.0</v>
      </c>
      <c r="B246" s="4"/>
      <c r="C246" s="4"/>
      <c r="D246" s="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32">
        <v>269.0</v>
      </c>
      <c r="B247" s="4"/>
      <c r="C247" s="4"/>
      <c r="D247" s="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32">
        <v>270.0</v>
      </c>
      <c r="B248" s="4"/>
      <c r="C248" s="4"/>
      <c r="D248" s="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32">
        <v>271.0</v>
      </c>
      <c r="B249" s="4"/>
      <c r="C249" s="4"/>
      <c r="D249" s="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32">
        <v>272.0</v>
      </c>
      <c r="B250" s="4"/>
      <c r="C250" s="4"/>
      <c r="D250" s="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32">
        <v>273.0</v>
      </c>
      <c r="B251" s="4"/>
      <c r="C251" s="4"/>
      <c r="D251" s="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32">
        <v>274.0</v>
      </c>
      <c r="B252" s="4"/>
      <c r="C252" s="4"/>
      <c r="D252" s="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32">
        <v>275.0</v>
      </c>
      <c r="B253" s="4"/>
      <c r="C253" s="4"/>
      <c r="D253" s="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32">
        <v>276.0</v>
      </c>
      <c r="B254" s="4"/>
      <c r="C254" s="4"/>
      <c r="D254" s="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32">
        <v>277.0</v>
      </c>
      <c r="B255" s="4"/>
      <c r="C255" s="4"/>
      <c r="D255" s="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32">
        <v>278.0</v>
      </c>
      <c r="B256" s="4"/>
      <c r="C256" s="4"/>
      <c r="D256" s="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32">
        <v>279.0</v>
      </c>
      <c r="B257" s="4"/>
      <c r="C257" s="4"/>
      <c r="D257" s="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32">
        <v>280.0</v>
      </c>
      <c r="B258" s="4"/>
      <c r="C258" s="4"/>
      <c r="D258" s="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32">
        <v>281.0</v>
      </c>
      <c r="B259" s="4"/>
      <c r="C259" s="4"/>
      <c r="D259" s="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32">
        <v>282.0</v>
      </c>
      <c r="B260" s="4"/>
      <c r="C260" s="4"/>
      <c r="D260" s="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32">
        <v>283.0</v>
      </c>
      <c r="B261" s="4"/>
      <c r="C261" s="4"/>
      <c r="D261" s="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32">
        <v>284.0</v>
      </c>
      <c r="B262" s="4"/>
      <c r="C262" s="4"/>
      <c r="D262" s="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32">
        <v>285.0</v>
      </c>
      <c r="B263" s="4"/>
      <c r="C263" s="4"/>
      <c r="D263" s="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32">
        <v>286.0</v>
      </c>
      <c r="B264" s="4"/>
      <c r="C264" s="4"/>
      <c r="D264" s="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32">
        <v>287.0</v>
      </c>
      <c r="B265" s="4"/>
      <c r="C265" s="4"/>
      <c r="D265" s="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32">
        <v>288.0</v>
      </c>
      <c r="B266" s="4"/>
      <c r="C266" s="4"/>
      <c r="D266" s="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32">
        <v>289.0</v>
      </c>
      <c r="B267" s="4"/>
      <c r="C267" s="4"/>
      <c r="D267" s="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32">
        <v>290.0</v>
      </c>
      <c r="B268" s="4"/>
      <c r="C268" s="4"/>
      <c r="D268" s="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32">
        <v>291.0</v>
      </c>
      <c r="B269" s="4"/>
      <c r="C269" s="4"/>
      <c r="D269" s="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32">
        <v>292.0</v>
      </c>
      <c r="B270" s="4"/>
      <c r="C270" s="4"/>
      <c r="D270" s="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32">
        <v>293.0</v>
      </c>
      <c r="B271" s="4"/>
      <c r="C271" s="4"/>
      <c r="D271" s="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32">
        <v>294.0</v>
      </c>
      <c r="B272" s="4"/>
      <c r="C272" s="4"/>
      <c r="D272" s="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32">
        <v>295.0</v>
      </c>
      <c r="B273" s="4"/>
      <c r="C273" s="4"/>
      <c r="D273" s="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32">
        <v>296.0</v>
      </c>
      <c r="B274" s="4"/>
      <c r="C274" s="4"/>
      <c r="D274" s="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32">
        <v>297.0</v>
      </c>
      <c r="B275" s="4"/>
      <c r="C275" s="4"/>
      <c r="D275" s="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32">
        <v>298.0</v>
      </c>
      <c r="B276" s="4"/>
      <c r="C276" s="4"/>
      <c r="D276" s="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32">
        <v>299.0</v>
      </c>
      <c r="B277" s="4"/>
      <c r="C277" s="4"/>
      <c r="D277" s="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32">
        <v>300.0</v>
      </c>
      <c r="B278" s="4"/>
      <c r="C278" s="4"/>
      <c r="D278" s="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32">
        <v>301.0</v>
      </c>
      <c r="B279" s="4"/>
      <c r="C279" s="4"/>
      <c r="D279" s="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32">
        <v>302.0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32">
        <v>303.0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32">
        <v>304.0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32">
        <v>305.0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32">
        <v>306.0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32">
        <v>307.0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32">
        <v>308.0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32">
        <v>309.0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32">
        <v>310.0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32">
        <v>311.0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32">
        <v>312.0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32">
        <v>313.0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32">
        <v>314.0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32">
        <v>315.0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32">
        <v>316.0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32">
        <v>317.0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32">
        <v>318.0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32">
        <v>319.0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32">
        <v>320.0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32">
        <v>321.0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32">
        <v>322.0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32">
        <v>323.0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32">
        <v>324.0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32">
        <v>325.0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32">
        <v>326.0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32">
        <v>327.0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32">
        <v>328.0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32">
        <v>329.0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32">
        <v>330.0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32">
        <v>331.0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32">
        <v>332.0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32">
        <v>333.0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32">
        <v>334.0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32">
        <v>335.0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32">
        <v>336.0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32">
        <v>337.0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32">
        <v>338.0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32">
        <v>339.0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32">
        <v>340.0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32">
        <v>341.0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32">
        <v>342.0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32">
        <v>343.0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32">
        <v>344.0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32">
        <v>345.0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32">
        <v>346.0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32">
        <v>347.0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32">
        <v>348.0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32">
        <v>349.0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32">
        <v>350.0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32">
        <v>351.0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32">
        <v>352.0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32">
        <v>353.0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32">
        <v>354.0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32">
        <v>355.0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32">
        <v>356.0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32">
        <v>357.0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32">
        <v>358.0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32">
        <v>359.0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32">
        <v>360.0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32">
        <v>361.0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32">
        <v>362.0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32">
        <v>363.0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32">
        <v>364.0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32">
        <v>365.0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32">
        <v>366.0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32">
        <v>367.0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32">
        <v>368.0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32">
        <v>369.0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32">
        <v>370.0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32">
        <v>371.0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32">
        <v>372.0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32">
        <v>373.0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32">
        <v>374.0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32">
        <v>375.0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32">
        <v>376.0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32">
        <v>377.0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32">
        <v>378.0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32">
        <v>379.0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32">
        <v>380.0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32">
        <v>381.0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32">
        <v>382.0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32">
        <v>383.0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32">
        <v>384.0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32">
        <v>385.0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32">
        <v>386.0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32">
        <v>387.0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32">
        <v>388.0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32">
        <v>389.0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32">
        <v>390.0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32">
        <v>391.0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32">
        <v>392.0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32">
        <v>393.0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32">
        <v>394.0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32">
        <v>395.0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32">
        <v>396.0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32">
        <v>397.0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32">
        <v>398.0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32">
        <v>399.0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32">
        <v>400.0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32">
        <v>401.0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32">
        <v>402.0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32">
        <v>403.0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32">
        <v>404.0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32">
        <v>405.0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32">
        <v>406.0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32">
        <v>407.0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32">
        <v>408.0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32">
        <v>409.0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32">
        <v>410.0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32">
        <v>411.0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32">
        <v>412.0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32">
        <v>413.0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32">
        <v>414.0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32">
        <v>415.0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32">
        <v>416.0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32">
        <v>417.0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32">
        <v>418.0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32">
        <v>419.0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32">
        <v>420.0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32">
        <v>421.0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32">
        <v>422.0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32">
        <v>423.0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32">
        <v>424.0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32">
        <v>425.0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32">
        <v>426.0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32">
        <v>427.0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32">
        <v>428.0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32">
        <v>429.0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32">
        <v>430.0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32">
        <v>431.0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32">
        <v>432.0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32">
        <v>433.0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32">
        <v>434.0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32">
        <v>435.0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32">
        <v>436.0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32">
        <v>437.0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32">
        <v>438.0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32">
        <v>439.0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32">
        <v>440.0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32">
        <v>441.0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32">
        <v>442.0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32">
        <v>443.0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32">
        <v>444.0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32">
        <v>445.0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32">
        <v>446.0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32">
        <v>447.0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32">
        <v>448.0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32">
        <v>449.0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32">
        <v>450.0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32">
        <v>451.0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32">
        <v>452.0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32">
        <v>453.0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32">
        <v>454.0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32">
        <v>455.0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32">
        <v>456.0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32">
        <v>457.0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32">
        <v>458.0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32">
        <v>459.0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32">
        <v>460.0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32">
        <v>461.0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32">
        <v>462.0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32">
        <v>463.0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32">
        <v>464.0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32">
        <v>465.0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32">
        <v>466.0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32">
        <v>467.0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32">
        <v>468.0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32">
        <v>469.0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32">
        <v>470.0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32">
        <v>471.0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32">
        <v>472.0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32">
        <v>473.0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32">
        <v>474.0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32">
        <v>475.0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32">
        <v>476.0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32">
        <v>477.0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32">
        <v>478.0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32">
        <v>479.0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32">
        <v>480.0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32">
        <v>481.0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32">
        <v>482.0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32">
        <v>483.0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32">
        <v>484.0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32">
        <v>485.0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32">
        <v>486.0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32">
        <v>487.0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32">
        <v>488.0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32">
        <v>489.0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32">
        <v>490.0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32">
        <v>491.0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32">
        <v>492.0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32">
        <v>493.0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32">
        <v>494.0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32">
        <v>495.0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32">
        <v>496.0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32">
        <v>497.0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32">
        <v>498.0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32">
        <v>499.0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32">
        <v>500.0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3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3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3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3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3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3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3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3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3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3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3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3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3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3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3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3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3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3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3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3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3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3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3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3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3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3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3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3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3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3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3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3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3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3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3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3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3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3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3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3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3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3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3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3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3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3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3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3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3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3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3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3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3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3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3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3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3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3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3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3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3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3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3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3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3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3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3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3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3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3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3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3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3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3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3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3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3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3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3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3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3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3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3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3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3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3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3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3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3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3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3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3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3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3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3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3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3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3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3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3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3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3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3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3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3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3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3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3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3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3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3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3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3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3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3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3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3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3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3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3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3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3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3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3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3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3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3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3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3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3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3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3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3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3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3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3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3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3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3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3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3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3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3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3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3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3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3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3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3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3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3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3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3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3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3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3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3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3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3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3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3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3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3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3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3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3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3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3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3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3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3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3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3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3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3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3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3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3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3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3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3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3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3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3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3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3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3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3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3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3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3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3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3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3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3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3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3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3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3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3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39"/>
    </row>
    <row r="680" ht="15.75" customHeight="1">
      <c r="A680" s="39"/>
    </row>
    <row r="681" ht="15.75" customHeight="1">
      <c r="A681" s="39"/>
    </row>
    <row r="682" ht="15.75" customHeight="1">
      <c r="A682" s="39"/>
    </row>
    <row r="683" ht="15.75" customHeight="1">
      <c r="A683" s="39"/>
    </row>
    <row r="684" ht="15.75" customHeight="1">
      <c r="A684" s="39"/>
    </row>
    <row r="685" ht="15.75" customHeight="1">
      <c r="A685" s="39"/>
    </row>
    <row r="686" ht="15.75" customHeight="1">
      <c r="A686" s="39"/>
    </row>
    <row r="687" ht="15.75" customHeight="1">
      <c r="A687" s="39"/>
    </row>
    <row r="688" ht="15.75" customHeight="1">
      <c r="A688" s="39"/>
    </row>
    <row r="689" ht="15.75" customHeight="1">
      <c r="A689" s="39"/>
    </row>
    <row r="690" ht="15.75" customHeight="1">
      <c r="A690" s="39"/>
    </row>
    <row r="691" ht="15.75" customHeight="1">
      <c r="A691" s="39"/>
    </row>
    <row r="692" ht="15.75" customHeight="1">
      <c r="A692" s="39"/>
    </row>
    <row r="693" ht="15.75" customHeight="1">
      <c r="A693" s="39"/>
    </row>
    <row r="694" ht="15.75" customHeight="1">
      <c r="A694" s="39"/>
    </row>
    <row r="695" ht="15.75" customHeight="1">
      <c r="A695" s="39"/>
    </row>
    <row r="696" ht="15.75" customHeight="1">
      <c r="A696" s="39"/>
    </row>
    <row r="697" ht="15.75" customHeight="1">
      <c r="A697" s="39"/>
    </row>
    <row r="698" ht="15.75" customHeight="1">
      <c r="A698" s="39"/>
    </row>
    <row r="699" ht="15.75" customHeight="1">
      <c r="A699" s="39"/>
    </row>
    <row r="700" ht="15.75" customHeight="1">
      <c r="A700" s="39"/>
    </row>
    <row r="701" ht="15.75" customHeight="1">
      <c r="A701" s="39"/>
    </row>
    <row r="702" ht="15.75" customHeight="1">
      <c r="A702" s="39"/>
    </row>
    <row r="703" ht="15.75" customHeight="1">
      <c r="A703" s="39"/>
    </row>
    <row r="704" ht="15.75" customHeight="1">
      <c r="A704" s="39"/>
    </row>
    <row r="705" ht="15.75" customHeight="1">
      <c r="A705" s="39"/>
    </row>
    <row r="706" ht="15.75" customHeight="1">
      <c r="A706" s="39"/>
    </row>
    <row r="707" ht="15.75" customHeight="1">
      <c r="A707" s="39"/>
    </row>
    <row r="708" ht="15.75" customHeight="1">
      <c r="A708" s="39"/>
    </row>
    <row r="709" ht="15.75" customHeight="1">
      <c r="A709" s="39"/>
    </row>
    <row r="710" ht="15.75" customHeight="1">
      <c r="A710" s="39"/>
    </row>
    <row r="711" ht="15.75" customHeight="1">
      <c r="A711" s="39"/>
    </row>
    <row r="712" ht="15.75" customHeight="1">
      <c r="A712" s="39"/>
    </row>
    <row r="713" ht="15.75" customHeight="1">
      <c r="A713" s="39"/>
    </row>
    <row r="714" ht="15.75" customHeight="1">
      <c r="A714" s="39"/>
    </row>
    <row r="715" ht="15.75" customHeight="1">
      <c r="A715" s="39"/>
    </row>
    <row r="716" ht="15.75" customHeight="1">
      <c r="A716" s="39"/>
    </row>
    <row r="717" ht="15.75" customHeight="1">
      <c r="A717" s="39"/>
    </row>
    <row r="718" ht="15.75" customHeight="1">
      <c r="A718" s="39"/>
    </row>
    <row r="719" ht="15.75" customHeight="1">
      <c r="A719" s="39"/>
    </row>
    <row r="720" ht="15.75" customHeight="1">
      <c r="A720" s="39"/>
    </row>
    <row r="721" ht="15.75" customHeight="1">
      <c r="A721" s="39"/>
    </row>
    <row r="722" ht="15.75" customHeight="1">
      <c r="A722" s="39"/>
    </row>
    <row r="723" ht="15.75" customHeight="1">
      <c r="A723" s="39"/>
    </row>
    <row r="724" ht="15.75" customHeight="1">
      <c r="A724" s="39"/>
    </row>
    <row r="725" ht="15.75" customHeight="1">
      <c r="A725" s="39"/>
    </row>
    <row r="726" ht="15.75" customHeight="1">
      <c r="A726" s="39"/>
    </row>
    <row r="727" ht="15.75" customHeight="1">
      <c r="A727" s="39"/>
    </row>
    <row r="728" ht="15.75" customHeight="1">
      <c r="A728" s="39"/>
    </row>
    <row r="729" ht="15.75" customHeight="1">
      <c r="A729" s="39"/>
    </row>
    <row r="730" ht="15.75" customHeight="1">
      <c r="A730" s="39"/>
    </row>
    <row r="731" ht="15.75" customHeight="1">
      <c r="A731" s="39"/>
    </row>
    <row r="732" ht="15.75" customHeight="1">
      <c r="A732" s="39"/>
    </row>
    <row r="733" ht="15.75" customHeight="1">
      <c r="A733" s="39"/>
    </row>
    <row r="734" ht="15.75" customHeight="1">
      <c r="A734" s="39"/>
    </row>
    <row r="735" ht="15.75" customHeight="1">
      <c r="A735" s="39"/>
    </row>
    <row r="736" ht="15.75" customHeight="1">
      <c r="A736" s="39"/>
    </row>
    <row r="737" ht="15.75" customHeight="1">
      <c r="A737" s="39"/>
    </row>
    <row r="738" ht="15.75" customHeight="1">
      <c r="A738" s="39"/>
    </row>
    <row r="739" ht="15.75" customHeight="1">
      <c r="A739" s="39"/>
    </row>
    <row r="740" ht="15.75" customHeight="1">
      <c r="A740" s="39"/>
    </row>
    <row r="741" ht="15.75" customHeight="1">
      <c r="A741" s="39"/>
    </row>
    <row r="742" ht="15.75" customHeight="1">
      <c r="A742" s="39"/>
    </row>
    <row r="743" ht="15.75" customHeight="1">
      <c r="A743" s="39"/>
    </row>
    <row r="744" ht="15.75" customHeight="1">
      <c r="A744" s="39"/>
    </row>
    <row r="745" ht="15.75" customHeight="1">
      <c r="A745" s="39"/>
    </row>
    <row r="746" ht="15.75" customHeight="1">
      <c r="A746" s="39"/>
    </row>
    <row r="747" ht="15.75" customHeight="1">
      <c r="A747" s="39"/>
    </row>
    <row r="748" ht="15.75" customHeight="1">
      <c r="A748" s="39"/>
    </row>
    <row r="749" ht="15.75" customHeight="1">
      <c r="A749" s="39"/>
    </row>
    <row r="750" ht="15.75" customHeight="1">
      <c r="A750" s="39"/>
    </row>
    <row r="751" ht="15.75" customHeight="1">
      <c r="A751" s="39"/>
    </row>
    <row r="752" ht="15.75" customHeight="1">
      <c r="A752" s="39"/>
    </row>
    <row r="753" ht="15.75" customHeight="1">
      <c r="A753" s="39"/>
    </row>
    <row r="754" ht="15.75" customHeight="1">
      <c r="A754" s="39"/>
    </row>
    <row r="755" ht="15.75" customHeight="1">
      <c r="A755" s="39"/>
    </row>
    <row r="756" ht="15.75" customHeight="1">
      <c r="A756" s="39"/>
    </row>
    <row r="757" ht="15.75" customHeight="1">
      <c r="A757" s="39"/>
    </row>
    <row r="758" ht="15.75" customHeight="1">
      <c r="A758" s="39"/>
    </row>
    <row r="759" ht="15.75" customHeight="1">
      <c r="A759" s="39"/>
    </row>
    <row r="760" ht="15.75" customHeight="1">
      <c r="A760" s="39"/>
    </row>
    <row r="761" ht="15.75" customHeight="1">
      <c r="A761" s="39"/>
    </row>
    <row r="762" ht="15.75" customHeight="1">
      <c r="A762" s="39"/>
    </row>
    <row r="763" ht="15.75" customHeight="1">
      <c r="A763" s="39"/>
    </row>
    <row r="764" ht="15.75" customHeight="1">
      <c r="A764" s="39"/>
    </row>
    <row r="765" ht="15.75" customHeight="1">
      <c r="A765" s="39"/>
    </row>
    <row r="766" ht="15.75" customHeight="1">
      <c r="A766" s="39"/>
    </row>
    <row r="767" ht="15.75" customHeight="1">
      <c r="A767" s="39"/>
    </row>
    <row r="768" ht="15.75" customHeight="1">
      <c r="A768" s="39"/>
    </row>
    <row r="769" ht="15.75" customHeight="1">
      <c r="A769" s="39"/>
    </row>
    <row r="770" ht="15.75" customHeight="1">
      <c r="A770" s="39"/>
    </row>
    <row r="771" ht="15.75" customHeight="1">
      <c r="A771" s="39"/>
    </row>
    <row r="772" ht="15.75" customHeight="1">
      <c r="A772" s="39"/>
    </row>
    <row r="773" ht="15.75" customHeight="1">
      <c r="A773" s="39"/>
    </row>
    <row r="774" ht="15.75" customHeight="1">
      <c r="A774" s="39"/>
    </row>
    <row r="775" ht="15.75" customHeight="1">
      <c r="A775" s="39"/>
    </row>
    <row r="776" ht="15.75" customHeight="1">
      <c r="A776" s="39"/>
    </row>
    <row r="777" ht="15.75" customHeight="1">
      <c r="A777" s="39"/>
    </row>
    <row r="778" ht="15.75" customHeight="1">
      <c r="A778" s="39"/>
    </row>
    <row r="779" ht="15.75" customHeight="1">
      <c r="A779" s="39"/>
    </row>
    <row r="780" ht="15.75" customHeight="1">
      <c r="A780" s="39"/>
    </row>
    <row r="781" ht="15.75" customHeight="1">
      <c r="A781" s="39"/>
    </row>
    <row r="782" ht="15.75" customHeight="1">
      <c r="A782" s="39"/>
    </row>
    <row r="783" ht="15.75" customHeight="1">
      <c r="A783" s="39"/>
    </row>
    <row r="784" ht="15.75" customHeight="1">
      <c r="A784" s="39"/>
    </row>
    <row r="785" ht="15.75" customHeight="1">
      <c r="A785" s="39"/>
    </row>
    <row r="786" ht="15.75" customHeight="1">
      <c r="A786" s="39"/>
    </row>
    <row r="787" ht="15.75" customHeight="1">
      <c r="A787" s="39"/>
    </row>
    <row r="788" ht="15.75" customHeight="1">
      <c r="A788" s="39"/>
    </row>
    <row r="789" ht="15.75" customHeight="1">
      <c r="A789" s="39"/>
    </row>
    <row r="790" ht="15.75" customHeight="1">
      <c r="A790" s="39"/>
    </row>
    <row r="791" ht="15.75" customHeight="1">
      <c r="A791" s="39"/>
    </row>
    <row r="792" ht="15.75" customHeight="1">
      <c r="A792" s="39"/>
    </row>
    <row r="793" ht="15.75" customHeight="1">
      <c r="A793" s="39"/>
    </row>
    <row r="794" ht="15.75" customHeight="1">
      <c r="A794" s="39"/>
    </row>
    <row r="795" ht="15.75" customHeight="1">
      <c r="A795" s="39"/>
    </row>
    <row r="796" ht="15.75" customHeight="1">
      <c r="A796" s="39"/>
    </row>
    <row r="797" ht="15.75" customHeight="1">
      <c r="A797" s="39"/>
    </row>
    <row r="798" ht="15.75" customHeight="1">
      <c r="A798" s="39"/>
    </row>
    <row r="799" ht="15.75" customHeight="1">
      <c r="A799" s="39"/>
    </row>
    <row r="800" ht="15.75" customHeight="1">
      <c r="A800" s="39"/>
    </row>
    <row r="801" ht="15.75" customHeight="1">
      <c r="A801" s="39"/>
    </row>
    <row r="802" ht="15.75" customHeight="1">
      <c r="A802" s="39"/>
    </row>
    <row r="803" ht="15.75" customHeight="1">
      <c r="A803" s="39"/>
    </row>
    <row r="804" ht="15.75" customHeight="1">
      <c r="A804" s="39"/>
    </row>
    <row r="805" ht="15.75" customHeight="1">
      <c r="A805" s="39"/>
    </row>
    <row r="806" ht="15.75" customHeight="1">
      <c r="A806" s="39"/>
    </row>
    <row r="807" ht="15.75" customHeight="1">
      <c r="A807" s="39"/>
    </row>
    <row r="808" ht="15.75" customHeight="1">
      <c r="A808" s="39"/>
    </row>
    <row r="809" ht="15.75" customHeight="1">
      <c r="A809" s="39"/>
    </row>
    <row r="810" ht="15.75" customHeight="1">
      <c r="A810" s="39"/>
    </row>
    <row r="811" ht="15.75" customHeight="1">
      <c r="A811" s="39"/>
    </row>
    <row r="812" ht="15.75" customHeight="1">
      <c r="A812" s="39"/>
    </row>
    <row r="813" ht="15.75" customHeight="1">
      <c r="A813" s="39"/>
    </row>
    <row r="814" ht="15.75" customHeight="1">
      <c r="A814" s="39"/>
    </row>
    <row r="815" ht="15.75" customHeight="1">
      <c r="A815" s="39"/>
    </row>
    <row r="816" ht="15.75" customHeight="1">
      <c r="A816" s="39"/>
    </row>
    <row r="817" ht="15.75" customHeight="1">
      <c r="A817" s="39"/>
    </row>
    <row r="818" ht="15.75" customHeight="1">
      <c r="A818" s="39"/>
    </row>
    <row r="819" ht="15.75" customHeight="1">
      <c r="A819" s="39"/>
    </row>
    <row r="820" ht="15.75" customHeight="1">
      <c r="A820" s="39"/>
    </row>
    <row r="821" ht="15.75" customHeight="1">
      <c r="A821" s="39"/>
    </row>
    <row r="822" ht="15.75" customHeight="1">
      <c r="A822" s="39"/>
    </row>
    <row r="823" ht="15.75" customHeight="1">
      <c r="A823" s="39"/>
    </row>
    <row r="824" ht="15.75" customHeight="1">
      <c r="A824" s="39"/>
    </row>
    <row r="825" ht="15.75" customHeight="1">
      <c r="A825" s="39"/>
    </row>
    <row r="826" ht="15.75" customHeight="1">
      <c r="A826" s="39"/>
    </row>
    <row r="827" ht="15.75" customHeight="1">
      <c r="A827" s="39"/>
    </row>
    <row r="828" ht="15.75" customHeight="1">
      <c r="A828" s="39"/>
    </row>
    <row r="829" ht="15.75" customHeight="1">
      <c r="A829" s="39"/>
    </row>
    <row r="830" ht="15.75" customHeight="1">
      <c r="A830" s="39"/>
    </row>
    <row r="831" ht="15.75" customHeight="1">
      <c r="A831" s="39"/>
    </row>
    <row r="832" ht="15.75" customHeight="1">
      <c r="A832" s="39"/>
    </row>
    <row r="833" ht="15.75" customHeight="1">
      <c r="A833" s="39"/>
    </row>
    <row r="834" ht="15.75" customHeight="1">
      <c r="A834" s="39"/>
    </row>
    <row r="835" ht="15.75" customHeight="1">
      <c r="A835" s="39"/>
    </row>
    <row r="836" ht="15.75" customHeight="1">
      <c r="A836" s="39"/>
    </row>
    <row r="837" ht="15.75" customHeight="1">
      <c r="A837" s="39"/>
    </row>
    <row r="838" ht="15.75" customHeight="1">
      <c r="A838" s="39"/>
    </row>
    <row r="839" ht="15.75" customHeight="1">
      <c r="A839" s="39"/>
    </row>
    <row r="840" ht="15.75" customHeight="1">
      <c r="A840" s="39"/>
    </row>
    <row r="841" ht="15.75" customHeight="1">
      <c r="A841" s="39"/>
    </row>
    <row r="842" ht="15.75" customHeight="1">
      <c r="A842" s="39"/>
    </row>
    <row r="843" ht="15.75" customHeight="1">
      <c r="A843" s="39"/>
    </row>
    <row r="844" ht="15.75" customHeight="1">
      <c r="A844" s="39"/>
    </row>
    <row r="845" ht="15.75" customHeight="1">
      <c r="A845" s="39"/>
    </row>
    <row r="846" ht="15.75" customHeight="1">
      <c r="A846" s="39"/>
    </row>
    <row r="847" ht="15.75" customHeight="1">
      <c r="A847" s="39"/>
    </row>
    <row r="848" ht="15.75" customHeight="1">
      <c r="A848" s="39"/>
    </row>
    <row r="849" ht="15.75" customHeight="1">
      <c r="A849" s="39"/>
    </row>
    <row r="850" ht="15.75" customHeight="1">
      <c r="A850" s="39"/>
    </row>
    <row r="851" ht="15.75" customHeight="1">
      <c r="A851" s="39"/>
    </row>
    <row r="852" ht="15.75" customHeight="1">
      <c r="A852" s="39"/>
    </row>
    <row r="853" ht="15.75" customHeight="1">
      <c r="A853" s="39"/>
    </row>
    <row r="854" ht="15.75" customHeight="1">
      <c r="A854" s="39"/>
    </row>
    <row r="855" ht="15.75" customHeight="1">
      <c r="A855" s="39"/>
    </row>
    <row r="856" ht="15.75" customHeight="1">
      <c r="A856" s="39"/>
    </row>
    <row r="857" ht="15.75" customHeight="1">
      <c r="A857" s="39"/>
    </row>
    <row r="858" ht="15.75" customHeight="1">
      <c r="A858" s="39"/>
    </row>
    <row r="859" ht="15.75" customHeight="1">
      <c r="A859" s="39"/>
    </row>
    <row r="860" ht="15.75" customHeight="1">
      <c r="A860" s="39"/>
    </row>
    <row r="861" ht="15.75" customHeight="1">
      <c r="A861" s="39"/>
    </row>
    <row r="862" ht="15.75" customHeight="1">
      <c r="A862" s="39"/>
    </row>
    <row r="863" ht="15.75" customHeight="1">
      <c r="A863" s="39"/>
    </row>
    <row r="864" ht="15.75" customHeight="1">
      <c r="A864" s="39"/>
    </row>
    <row r="865" ht="15.75" customHeight="1">
      <c r="A865" s="39"/>
    </row>
    <row r="866" ht="15.75" customHeight="1">
      <c r="A866" s="39"/>
    </row>
    <row r="867" ht="15.75" customHeight="1">
      <c r="A867" s="39"/>
    </row>
    <row r="868" ht="15.75" customHeight="1">
      <c r="A868" s="39"/>
    </row>
    <row r="869" ht="15.75" customHeight="1">
      <c r="A869" s="39"/>
    </row>
    <row r="870" ht="15.75" customHeight="1">
      <c r="A870" s="39"/>
    </row>
    <row r="871" ht="15.75" customHeight="1">
      <c r="A871" s="39"/>
    </row>
    <row r="872" ht="15.75" customHeight="1">
      <c r="A872" s="39"/>
    </row>
    <row r="873" ht="15.75" customHeight="1">
      <c r="A873" s="39"/>
    </row>
    <row r="874" ht="15.75" customHeight="1">
      <c r="A874" s="39"/>
    </row>
    <row r="875" ht="15.75" customHeight="1">
      <c r="A875" s="39"/>
    </row>
    <row r="876" ht="15.75" customHeight="1">
      <c r="A876" s="39"/>
    </row>
    <row r="877" ht="15.75" customHeight="1">
      <c r="A877" s="39"/>
    </row>
    <row r="878" ht="15.75" customHeight="1">
      <c r="A878" s="39"/>
    </row>
    <row r="879" ht="15.75" customHeight="1">
      <c r="A879" s="39"/>
    </row>
    <row r="880" ht="15.75" customHeight="1">
      <c r="A880" s="39"/>
    </row>
    <row r="881" ht="15.75" customHeight="1">
      <c r="A881" s="39"/>
    </row>
    <row r="882" ht="15.75" customHeight="1">
      <c r="A882" s="39"/>
    </row>
    <row r="883" ht="15.75" customHeight="1">
      <c r="A883" s="39"/>
    </row>
    <row r="884" ht="15.75" customHeight="1">
      <c r="A884" s="39"/>
    </row>
    <row r="885" ht="15.75" customHeight="1">
      <c r="A885" s="39"/>
    </row>
    <row r="886" ht="15.75" customHeight="1">
      <c r="A886" s="39"/>
    </row>
    <row r="887" ht="15.75" customHeight="1">
      <c r="A887" s="39"/>
    </row>
    <row r="888" ht="15.75" customHeight="1">
      <c r="A888" s="39"/>
    </row>
    <row r="889" ht="15.75" customHeight="1">
      <c r="A889" s="39"/>
    </row>
    <row r="890" ht="15.75" customHeight="1">
      <c r="A890" s="39"/>
    </row>
    <row r="891" ht="15.75" customHeight="1">
      <c r="A891" s="39"/>
    </row>
    <row r="892" ht="15.75" customHeight="1">
      <c r="A892" s="39"/>
    </row>
    <row r="893" ht="15.75" customHeight="1">
      <c r="A893" s="39"/>
    </row>
    <row r="894" ht="15.75" customHeight="1">
      <c r="A894" s="39"/>
    </row>
    <row r="895" ht="15.75" customHeight="1">
      <c r="A895" s="39"/>
    </row>
    <row r="896" ht="15.75" customHeight="1">
      <c r="A896" s="39"/>
    </row>
    <row r="897" ht="15.75" customHeight="1">
      <c r="A897" s="39"/>
    </row>
    <row r="898" ht="15.75" customHeight="1">
      <c r="A898" s="39"/>
    </row>
    <row r="899" ht="15.75" customHeight="1">
      <c r="A899" s="39"/>
    </row>
    <row r="900" ht="15.75" customHeight="1">
      <c r="A900" s="39"/>
    </row>
    <row r="901" ht="15.75" customHeight="1">
      <c r="A901" s="39"/>
    </row>
    <row r="902" ht="15.75" customHeight="1">
      <c r="A902" s="39"/>
    </row>
    <row r="903" ht="15.75" customHeight="1">
      <c r="A903" s="39"/>
    </row>
    <row r="904" ht="15.75" customHeight="1">
      <c r="A904" s="39"/>
    </row>
    <row r="905" ht="15.75" customHeight="1">
      <c r="A905" s="39"/>
    </row>
    <row r="906" ht="15.75" customHeight="1">
      <c r="A906" s="39"/>
    </row>
    <row r="907" ht="15.75" customHeight="1">
      <c r="A907" s="39"/>
    </row>
    <row r="908" ht="15.75" customHeight="1">
      <c r="A908" s="39"/>
    </row>
    <row r="909" ht="15.75" customHeight="1">
      <c r="A909" s="39"/>
    </row>
    <row r="910" ht="15.75" customHeight="1">
      <c r="A910" s="39"/>
    </row>
    <row r="911" ht="15.75" customHeight="1">
      <c r="A911" s="39"/>
    </row>
    <row r="912" ht="15.75" customHeight="1">
      <c r="A912" s="39"/>
    </row>
    <row r="913" ht="15.75" customHeight="1">
      <c r="A913" s="39"/>
    </row>
    <row r="914" ht="15.75" customHeight="1">
      <c r="A914" s="39"/>
    </row>
    <row r="915" ht="15.75" customHeight="1">
      <c r="A915" s="39"/>
    </row>
    <row r="916" ht="15.75" customHeight="1">
      <c r="A916" s="39"/>
    </row>
    <row r="917" ht="15.75" customHeight="1">
      <c r="A917" s="39"/>
    </row>
    <row r="918" ht="15.75" customHeight="1">
      <c r="A918" s="39"/>
    </row>
    <row r="919" ht="15.75" customHeight="1">
      <c r="A919" s="39"/>
    </row>
    <row r="920" ht="15.75" customHeight="1">
      <c r="A920" s="39"/>
    </row>
    <row r="921" ht="15.75" customHeight="1">
      <c r="A921" s="39"/>
    </row>
    <row r="922" ht="15.75" customHeight="1">
      <c r="A922" s="39"/>
    </row>
    <row r="923" ht="15.75" customHeight="1">
      <c r="A923" s="39"/>
    </row>
    <row r="924" ht="15.75" customHeight="1">
      <c r="A924" s="39"/>
    </row>
    <row r="925" ht="15.75" customHeight="1">
      <c r="A925" s="39"/>
    </row>
    <row r="926" ht="15.75" customHeight="1">
      <c r="A926" s="39"/>
    </row>
    <row r="927" ht="15.75" customHeight="1">
      <c r="A927" s="39"/>
    </row>
    <row r="928" ht="15.75" customHeight="1">
      <c r="A928" s="39"/>
    </row>
    <row r="929" ht="15.75" customHeight="1">
      <c r="A929" s="39"/>
    </row>
    <row r="930" ht="15.75" customHeight="1">
      <c r="A930" s="39"/>
    </row>
    <row r="931" ht="15.75" customHeight="1">
      <c r="A931" s="39"/>
    </row>
    <row r="932" ht="15.75" customHeight="1">
      <c r="A932" s="39"/>
    </row>
    <row r="933" ht="15.75" customHeight="1">
      <c r="A933" s="39"/>
    </row>
    <row r="934" ht="15.75" customHeight="1">
      <c r="A934" s="39"/>
    </row>
    <row r="935" ht="15.75" customHeight="1">
      <c r="A935" s="39"/>
    </row>
    <row r="936" ht="15.75" customHeight="1">
      <c r="A936" s="39"/>
    </row>
    <row r="937" ht="15.75" customHeight="1">
      <c r="A937" s="39"/>
    </row>
    <row r="938" ht="15.75" customHeight="1">
      <c r="A938" s="39"/>
    </row>
    <row r="939" ht="15.75" customHeight="1">
      <c r="A939" s="39"/>
    </row>
    <row r="940" ht="15.75" customHeight="1">
      <c r="A940" s="39"/>
    </row>
    <row r="941" ht="15.75" customHeight="1">
      <c r="A941" s="39"/>
    </row>
    <row r="942" ht="15.75" customHeight="1">
      <c r="A942" s="39"/>
    </row>
    <row r="943" ht="15.75" customHeight="1">
      <c r="A943" s="39"/>
    </row>
    <row r="944" ht="15.75" customHeight="1">
      <c r="A944" s="39"/>
    </row>
    <row r="945" ht="15.75" customHeight="1">
      <c r="A945" s="39"/>
    </row>
    <row r="946" ht="15.75" customHeight="1">
      <c r="A946" s="39"/>
    </row>
    <row r="947" ht="15.75" customHeight="1">
      <c r="A947" s="39"/>
    </row>
    <row r="948" ht="15.75" customHeight="1">
      <c r="A948" s="39"/>
    </row>
    <row r="949" ht="15.75" customHeight="1">
      <c r="A949" s="39"/>
    </row>
    <row r="950" ht="15.75" customHeight="1">
      <c r="A950" s="39"/>
    </row>
    <row r="951" ht="15.75" customHeight="1">
      <c r="A951" s="39"/>
    </row>
    <row r="952" ht="15.75" customHeight="1">
      <c r="A952" s="39"/>
    </row>
    <row r="953" ht="15.75" customHeight="1">
      <c r="A953" s="39"/>
    </row>
    <row r="954" ht="15.75" customHeight="1">
      <c r="A954" s="39"/>
    </row>
    <row r="955" ht="15.75" customHeight="1">
      <c r="A955" s="39"/>
    </row>
    <row r="956" ht="15.75" customHeight="1">
      <c r="A956" s="39"/>
    </row>
    <row r="957" ht="15.75" customHeight="1">
      <c r="A957" s="39"/>
    </row>
    <row r="958" ht="15.75" customHeight="1">
      <c r="A958" s="39"/>
    </row>
    <row r="959" ht="15.75" customHeight="1">
      <c r="A959" s="39"/>
    </row>
    <row r="960" ht="15.75" customHeight="1">
      <c r="A960" s="39"/>
    </row>
    <row r="961" ht="15.75" customHeight="1">
      <c r="A961" s="39"/>
    </row>
    <row r="962" ht="15.75" customHeight="1">
      <c r="A962" s="39"/>
    </row>
    <row r="963" ht="15.75" customHeight="1">
      <c r="A963" s="39"/>
    </row>
    <row r="964" ht="15.75" customHeight="1">
      <c r="A964" s="39"/>
    </row>
    <row r="965" ht="15.75" customHeight="1">
      <c r="A965" s="39"/>
    </row>
    <row r="966" ht="15.75" customHeight="1">
      <c r="A966" s="39"/>
    </row>
    <row r="967" ht="15.75" customHeight="1">
      <c r="A967" s="39"/>
    </row>
    <row r="968" ht="15.75" customHeight="1">
      <c r="A968" s="39"/>
    </row>
    <row r="969" ht="15.75" customHeight="1">
      <c r="A969" s="39"/>
    </row>
    <row r="970" ht="15.75" customHeight="1">
      <c r="A970" s="39"/>
    </row>
    <row r="971" ht="15.75" customHeight="1">
      <c r="A971" s="39"/>
    </row>
    <row r="972" ht="15.75" customHeight="1">
      <c r="A972" s="39"/>
    </row>
    <row r="973" ht="15.75" customHeight="1">
      <c r="A973" s="39"/>
    </row>
    <row r="974" ht="15.75" customHeight="1">
      <c r="A974" s="39"/>
    </row>
    <row r="975" ht="15.75" customHeight="1">
      <c r="A975" s="39"/>
    </row>
    <row r="976" ht="15.75" customHeight="1">
      <c r="A976" s="39"/>
    </row>
  </sheetData>
  <autoFilter ref="$A$2:$E$478"/>
  <mergeCells count="1">
    <mergeCell ref="A1:C1"/>
  </mergeCells>
  <dataValidations>
    <dataValidation type="list" allowBlank="1" showErrorMessage="1" sqref="D3:D279">
      <formula1>Dados!$A$3:$A$32</formula1>
    </dataValidation>
    <dataValidation type="list" allowBlank="1" showErrorMessage="1" sqref="E3:E279">
      <formula1>Dados!$C$3:$C$502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4.43" defaultRowHeight="15.0"/>
  <cols>
    <col customWidth="1" min="1" max="1" width="69.71"/>
    <col customWidth="1" min="2" max="2" width="37.14"/>
    <col customWidth="1" min="3" max="3" width="20.29"/>
    <col customWidth="1" min="4" max="6" width="9.14"/>
    <col customWidth="1" min="7" max="26" width="8.71"/>
  </cols>
  <sheetData>
    <row r="1">
      <c r="A1" s="40"/>
      <c r="B1" s="40"/>
      <c r="C1" s="4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1" t="s">
        <v>1148</v>
      </c>
      <c r="B2" s="41"/>
      <c r="C2" s="41" t="s">
        <v>1159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 t="s">
        <v>11</v>
      </c>
      <c r="B3" s="10" t="s">
        <v>1160</v>
      </c>
      <c r="C3" s="10" t="s">
        <v>147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 t="s">
        <v>25</v>
      </c>
      <c r="B4" s="10" t="s">
        <v>1161</v>
      </c>
      <c r="C4" s="10" t="s">
        <v>1162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 t="s">
        <v>451</v>
      </c>
      <c r="B5" s="10" t="s">
        <v>1163</v>
      </c>
      <c r="C5" s="10" t="s">
        <v>464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 t="s">
        <v>29</v>
      </c>
      <c r="B6" s="10" t="s">
        <v>1163</v>
      </c>
      <c r="C6" s="10" t="s">
        <v>1164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 t="s">
        <v>90</v>
      </c>
      <c r="B7" s="10" t="s">
        <v>1165</v>
      </c>
      <c r="C7" s="10" t="s">
        <v>1166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 t="s">
        <v>1167</v>
      </c>
      <c r="B8" s="10" t="s">
        <v>1168</v>
      </c>
      <c r="C8" s="10" t="s">
        <v>1169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 t="s">
        <v>578</v>
      </c>
      <c r="B9" s="10" t="s">
        <v>1170</v>
      </c>
      <c r="C9" s="10" t="s">
        <v>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 t="s">
        <v>725</v>
      </c>
      <c r="B10" s="10" t="s">
        <v>1171</v>
      </c>
      <c r="C10" s="10" t="s">
        <v>106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 t="s">
        <v>13</v>
      </c>
      <c r="B11" s="10" t="s">
        <v>1172</v>
      </c>
      <c r="C11" s="10" t="s">
        <v>1173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 t="s">
        <v>77</v>
      </c>
      <c r="B12" s="10" t="s">
        <v>1174</v>
      </c>
      <c r="C12" s="10" t="s">
        <v>18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 t="s">
        <v>558</v>
      </c>
      <c r="B13" s="10" t="s">
        <v>1175</v>
      </c>
      <c r="C13" s="10" t="s">
        <v>35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 t="s">
        <v>184</v>
      </c>
      <c r="B14" s="10" t="s">
        <v>1176</v>
      </c>
      <c r="C14" s="10" t="s">
        <v>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 t="s">
        <v>162</v>
      </c>
      <c r="B15" s="10" t="s">
        <v>1177</v>
      </c>
      <c r="C15" s="10" t="s">
        <v>494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 t="s">
        <v>20</v>
      </c>
      <c r="B16" s="10" t="s">
        <v>1178</v>
      </c>
      <c r="C16" s="10" t="s">
        <v>14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 t="s">
        <v>8</v>
      </c>
      <c r="B17" s="10" t="s">
        <v>1179</v>
      </c>
      <c r="C17" s="10" t="s">
        <v>137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 t="s">
        <v>1151</v>
      </c>
      <c r="B18" s="10"/>
      <c r="C18" s="10" t="s">
        <v>23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 t="s">
        <v>829</v>
      </c>
      <c r="B19" s="10"/>
      <c r="C19" s="10" t="s">
        <v>1180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 t="s">
        <v>764</v>
      </c>
      <c r="B20" s="10"/>
      <c r="C20" s="10" t="s">
        <v>74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 t="s">
        <v>17</v>
      </c>
      <c r="B21" s="10" t="s">
        <v>1181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 t="s">
        <v>22</v>
      </c>
      <c r="B22" s="10" t="s">
        <v>1182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 t="s">
        <v>1183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 t="s">
        <v>34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 t="s">
        <v>608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 t="s">
        <v>69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 t="s">
        <v>294</v>
      </c>
      <c r="B27" s="10" t="s">
        <v>1184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 t="s">
        <v>104</v>
      </c>
      <c r="B28" s="10" t="s">
        <v>1185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 t="s">
        <v>97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 t="s">
        <v>136</v>
      </c>
      <c r="B30" s="10" t="s">
        <v>1186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 t="s">
        <v>140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 t="s">
        <v>145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 t="s">
        <v>914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 t="s">
        <v>867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 t="s">
        <v>168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 t="s">
        <v>178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 t="s">
        <v>223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 t="s">
        <v>227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 t="s">
        <v>225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 t="s">
        <v>229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 t="s">
        <v>235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 t="s">
        <v>256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 t="s">
        <v>605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 t="s">
        <v>275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 t="s">
        <v>299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 t="s">
        <v>306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 t="s">
        <v>102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 t="s">
        <v>335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 t="s">
        <v>350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 t="s">
        <v>372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 t="s">
        <v>374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 t="s">
        <v>376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 t="s">
        <v>378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 t="s">
        <v>436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 t="s">
        <v>1187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 t="s">
        <v>491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 t="s">
        <v>525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 t="s">
        <v>532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 t="s">
        <v>595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</sheetData>
  <autoFilter ref="$A$2:$C$2"/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6" width="9.14"/>
    <col customWidth="1" min="7" max="7" width="2.71"/>
    <col customWidth="1" min="8" max="8" width="18.0"/>
    <col customWidth="1" min="9" max="11" width="9.14"/>
    <col customWidth="1" min="12" max="12" width="2.71"/>
    <col customWidth="1" min="13" max="17" width="9.14"/>
    <col customWidth="1" min="18" max="26" width="8.71"/>
  </cols>
  <sheetData>
    <row r="1" ht="14.25" customHeight="1">
      <c r="A1" s="42"/>
      <c r="B1" s="42" t="s">
        <v>1188</v>
      </c>
      <c r="C1" s="42">
        <f>COUNTA('&lt; 1700'!B3:B1701)</f>
        <v>592</v>
      </c>
      <c r="D1" s="42" t="s">
        <v>1189</v>
      </c>
      <c r="E1" s="42">
        <f>COUNTA('Ofícios'!$B$4:$B$1304)</f>
        <v>621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4.25" customHeight="1">
      <c r="A2" s="42"/>
      <c r="B2" s="42" t="s">
        <v>1190</v>
      </c>
      <c r="C2" s="42">
        <f>1700-C1</f>
        <v>1108</v>
      </c>
      <c r="D2" s="42" t="s">
        <v>1191</v>
      </c>
      <c r="E2" s="42">
        <f>E1+C1</f>
        <v>1213</v>
      </c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4.2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4.25" customHeight="1">
      <c r="A4" s="43"/>
      <c r="B4" s="44" t="s">
        <v>1192</v>
      </c>
      <c r="C4" s="2"/>
      <c r="D4" s="2"/>
      <c r="E4" s="2"/>
      <c r="F4" s="2"/>
      <c r="G4" s="43"/>
      <c r="H4" s="45" t="s">
        <v>1193</v>
      </c>
      <c r="I4" s="2"/>
      <c r="J4" s="2"/>
      <c r="K4" s="2"/>
      <c r="L4" s="43"/>
      <c r="M4" s="46" t="s">
        <v>1194</v>
      </c>
      <c r="N4" s="2"/>
      <c r="O4" s="2"/>
      <c r="P4" s="2"/>
      <c r="Q4" s="2"/>
      <c r="R4" s="43"/>
      <c r="S4" s="43"/>
      <c r="T4" s="43"/>
      <c r="U4" s="43"/>
      <c r="V4" s="43"/>
      <c r="W4" s="43"/>
      <c r="X4" s="43"/>
      <c r="Y4" s="43"/>
      <c r="Z4" s="43"/>
    </row>
    <row r="5" ht="14.25" customHeight="1">
      <c r="A5" s="43"/>
      <c r="B5" s="47">
        <f>C2+E2</f>
        <v>2321</v>
      </c>
      <c r="C5" s="48"/>
      <c r="D5" s="48"/>
      <c r="E5" s="48"/>
      <c r="F5" s="48"/>
      <c r="G5" s="43"/>
      <c r="H5" s="49">
        <f>E2</f>
        <v>1213</v>
      </c>
      <c r="I5" s="48"/>
      <c r="J5" s="48"/>
      <c r="K5" s="48"/>
      <c r="L5" s="43"/>
      <c r="M5" s="50">
        <f>C2</f>
        <v>1108</v>
      </c>
      <c r="N5" s="48"/>
      <c r="O5" s="48"/>
      <c r="P5" s="48"/>
      <c r="Q5" s="48"/>
      <c r="R5" s="43"/>
      <c r="S5" s="43"/>
      <c r="T5" s="43"/>
      <c r="U5" s="43"/>
      <c r="V5" s="43"/>
      <c r="W5" s="43"/>
      <c r="X5" s="43"/>
      <c r="Y5" s="43"/>
      <c r="Z5" s="43"/>
    </row>
    <row r="6" ht="15.0" customHeight="1">
      <c r="A6" s="43"/>
      <c r="B6" s="51"/>
      <c r="G6" s="43"/>
      <c r="H6" s="51"/>
      <c r="L6" s="43"/>
      <c r="M6" s="51"/>
      <c r="R6" s="43"/>
      <c r="S6" s="43"/>
      <c r="T6" s="43"/>
      <c r="U6" s="43"/>
      <c r="V6" s="43"/>
      <c r="W6" s="43"/>
      <c r="X6" s="43"/>
      <c r="Y6" s="43"/>
      <c r="Z6" s="43"/>
    </row>
    <row r="7" ht="15.0" customHeight="1">
      <c r="A7" s="43"/>
      <c r="B7" s="51"/>
      <c r="G7" s="43"/>
      <c r="H7" s="51"/>
      <c r="L7" s="43"/>
      <c r="M7" s="51"/>
      <c r="R7" s="43"/>
      <c r="S7" s="43"/>
      <c r="T7" s="43"/>
      <c r="U7" s="43"/>
      <c r="V7" s="43"/>
      <c r="W7" s="43"/>
      <c r="X7" s="43"/>
      <c r="Y7" s="43"/>
      <c r="Z7" s="43"/>
    </row>
    <row r="8" ht="15.0" customHeight="1">
      <c r="A8" s="43"/>
      <c r="B8" s="51"/>
      <c r="G8" s="43"/>
      <c r="H8" s="51"/>
      <c r="L8" s="43"/>
      <c r="M8" s="51"/>
      <c r="R8" s="43"/>
      <c r="S8" s="43"/>
      <c r="T8" s="43"/>
      <c r="U8" s="43"/>
      <c r="V8" s="43"/>
      <c r="W8" s="43"/>
      <c r="X8" s="43"/>
      <c r="Y8" s="43"/>
      <c r="Z8" s="43"/>
    </row>
    <row r="9" ht="15.0" customHeight="1">
      <c r="A9" s="43"/>
      <c r="B9" s="51"/>
      <c r="G9" s="43"/>
      <c r="H9" s="51"/>
      <c r="L9" s="43"/>
      <c r="M9" s="51"/>
      <c r="R9" s="43"/>
      <c r="S9" s="43"/>
      <c r="T9" s="43"/>
      <c r="U9" s="43"/>
      <c r="V9" s="43"/>
      <c r="W9" s="43"/>
      <c r="X9" s="43"/>
      <c r="Y9" s="43"/>
      <c r="Z9" s="43"/>
    </row>
    <row r="10" ht="14.2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4.25" customHeight="1">
      <c r="A11" s="43"/>
      <c r="B11" s="52" t="s">
        <v>1195</v>
      </c>
      <c r="C11" s="2"/>
      <c r="D11" s="2"/>
      <c r="E11" s="2"/>
      <c r="F11" s="2"/>
      <c r="G11" s="43"/>
      <c r="H11" s="53" t="s">
        <v>1196</v>
      </c>
      <c r="I11" s="2"/>
      <c r="J11" s="2"/>
      <c r="K11" s="2"/>
      <c r="L11" s="2"/>
      <c r="M11" s="2"/>
      <c r="N11" s="2"/>
      <c r="O11" s="2"/>
      <c r="P11" s="2"/>
      <c r="Q11" s="2"/>
      <c r="R11" s="43"/>
      <c r="S11" s="43"/>
      <c r="T11" s="43"/>
      <c r="U11" s="43"/>
      <c r="V11" s="43"/>
      <c r="W11" s="43"/>
      <c r="X11" s="43"/>
      <c r="Y11" s="43"/>
      <c r="Z11" s="43"/>
    </row>
    <row r="12" ht="14.25" customHeight="1">
      <c r="A12" s="43"/>
      <c r="B12" s="43" t="str">
        <f>Dados!C3</f>
        <v>Ana Christine</v>
      </c>
      <c r="C12" s="54"/>
      <c r="D12" s="54"/>
      <c r="E12" s="43"/>
      <c r="F12" s="43">
        <f>COUNTIF('Ofícios'!F:F, B12)</f>
        <v>2</v>
      </c>
      <c r="G12" s="43"/>
      <c r="H12" s="43" t="s">
        <v>1197</v>
      </c>
      <c r="I12" s="55" t="str">
        <f>SUMPRODUCT((MONTH('Ofícios'!B4:B1001)=1)*(ISNUMBER('Ofícios'!B4:B1001)))</f>
        <v>#VALUE!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4.25" customHeight="1">
      <c r="A13" s="43"/>
      <c r="B13" s="43" t="str">
        <f>Dados!C4</f>
        <v>Ana Paula</v>
      </c>
      <c r="C13" s="54"/>
      <c r="D13" s="54"/>
      <c r="E13" s="43"/>
      <c r="F13" s="43">
        <f>COUNTIF('Ofícios'!F:F, B13)</f>
        <v>0</v>
      </c>
      <c r="G13" s="43"/>
      <c r="H13" s="43" t="s">
        <v>1198</v>
      </c>
      <c r="I13" s="55" t="str">
        <f>SUMPRODUCT((MONTH('Ofícios'!B4:B1001)=2)*(ISNUMBER('Ofícios'!B4:B1001)))</f>
        <v>#VALUE!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4.25" customHeight="1">
      <c r="A14" s="43"/>
      <c r="B14" s="43" t="str">
        <f>Dados!C5</f>
        <v>Almir</v>
      </c>
      <c r="C14" s="54"/>
      <c r="D14" s="54"/>
      <c r="E14" s="43"/>
      <c r="F14" s="43">
        <f>COUNTIF('Ofícios'!F:F, B14)</f>
        <v>66</v>
      </c>
      <c r="G14" s="43"/>
      <c r="H14" s="43" t="s">
        <v>1199</v>
      </c>
      <c r="I14" s="43" t="str">
        <f>SUMPRODUCT((MONTH('Ofícios'!B4:B1001)=3)*(ISNUMBER('Ofícios'!B4:B1001)))</f>
        <v>#VALUE!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4.25" customHeight="1">
      <c r="A15" s="43"/>
      <c r="B15" s="43" t="str">
        <f>Dados!C6</f>
        <v>Edson</v>
      </c>
      <c r="C15" s="54"/>
      <c r="D15" s="54"/>
      <c r="E15" s="43"/>
      <c r="F15" s="43">
        <f>COUNTIF('Ofícios'!F:F, B15)</f>
        <v>0</v>
      </c>
      <c r="G15" s="43"/>
      <c r="H15" s="43" t="s">
        <v>1200</v>
      </c>
      <c r="I15" s="43" t="str">
        <f>SUMPRODUCT((MONTH('Ofícios'!B4:B1001)=4)*(ISNUMBER('Ofícios'!B4:B1001)))</f>
        <v>#VALUE!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4.25" customHeight="1">
      <c r="A16" s="43"/>
      <c r="B16" s="43" t="str">
        <f>Dados!C7</f>
        <v>Fabrício</v>
      </c>
      <c r="C16" s="54"/>
      <c r="D16" s="54"/>
      <c r="E16" s="43"/>
      <c r="F16" s="43">
        <f>COUNTIF('Ofícios'!F:F, B16)</f>
        <v>0</v>
      </c>
      <c r="G16" s="43"/>
      <c r="H16" s="43" t="s">
        <v>1201</v>
      </c>
      <c r="I16" s="43" t="str">
        <f>SUMPRODUCT((MONTH('Ofícios'!B4:B1001)=5)*(ISNUMBER('Ofícios'!B4:B1001)))</f>
        <v>#VALUE!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4.25" customHeight="1">
      <c r="A17" s="43"/>
      <c r="B17" s="43" t="str">
        <f>Dados!C8</f>
        <v>Flávia</v>
      </c>
      <c r="C17" s="54"/>
      <c r="D17" s="54"/>
      <c r="E17" s="43"/>
      <c r="F17" s="43">
        <f>COUNTIF('Ofícios'!F:F, B17)</f>
        <v>0</v>
      </c>
      <c r="G17" s="43"/>
      <c r="H17" s="43" t="s">
        <v>1202</v>
      </c>
      <c r="I17" s="43" t="str">
        <f>SUMPRODUCT((MONTH('Ofícios'!B4:B1001)=6)*(ISNUMBER('Ofícios'!B4:B1001)))</f>
        <v>#VALUE!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4.25" customHeight="1">
      <c r="A18" s="43"/>
      <c r="B18" s="43" t="str">
        <f>Dados!C9</f>
        <v>Lara</v>
      </c>
      <c r="C18" s="54"/>
      <c r="D18" s="54"/>
      <c r="E18" s="43"/>
      <c r="F18" s="43">
        <f>COUNTIF('Ofícios'!F:F, B18)</f>
        <v>40</v>
      </c>
      <c r="G18" s="43"/>
      <c r="H18" s="43" t="s">
        <v>1203</v>
      </c>
      <c r="I18" s="55" t="str">
        <f>SUMPRODUCT((MONTH('Ofícios'!B4:B1001)=7)*(ISNUMBER('Ofícios'!B4:B1001)))</f>
        <v>#VALUE!</v>
      </c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4.25" customHeight="1">
      <c r="A19" s="43"/>
      <c r="B19" s="43" t="str">
        <f>Dados!C10</f>
        <v>Luzinete</v>
      </c>
      <c r="C19" s="54"/>
      <c r="D19" s="54"/>
      <c r="E19" s="43"/>
      <c r="F19" s="43">
        <f>COUNTIF('Ofícios'!F:F, B19)</f>
        <v>6</v>
      </c>
      <c r="G19" s="43"/>
      <c r="H19" s="43" t="s">
        <v>1204</v>
      </c>
      <c r="I19" s="55" t="str">
        <f>SUMPRODUCT((MONTH('Ofícios'!B4:B1001)=8)*(ISNUMBER('Ofícios'!B4:B1001)))</f>
        <v>#VALUE!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4.25" customHeight="1">
      <c r="A20" s="43"/>
      <c r="B20" s="43" t="str">
        <f>Dados!C11</f>
        <v>Luzivânia</v>
      </c>
      <c r="C20" s="54"/>
      <c r="D20" s="54"/>
      <c r="E20" s="43"/>
      <c r="F20" s="43">
        <f>COUNTIF('Ofícios'!F:F, B20)</f>
        <v>0</v>
      </c>
      <c r="G20" s="43"/>
      <c r="H20" s="43" t="s">
        <v>1205</v>
      </c>
      <c r="I20" s="55" t="str">
        <f>SUMPRODUCT((MONTH('Ofícios'!B4:B1001)=9)*(ISNUMBER('Ofícios'!B4:B1001)))</f>
        <v>#VALUE!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4.25" customHeight="1">
      <c r="A21" s="43"/>
      <c r="B21" s="43" t="str">
        <f>Dados!C12</f>
        <v>Paula Karina</v>
      </c>
      <c r="C21" s="54"/>
      <c r="D21" s="54"/>
      <c r="E21" s="43"/>
      <c r="F21" s="43">
        <f>COUNTIF('Ofícios'!F:F, B21)</f>
        <v>13</v>
      </c>
      <c r="G21" s="43"/>
      <c r="H21" s="43" t="s">
        <v>1206</v>
      </c>
      <c r="I21" s="55" t="str">
        <f>SUMPRODUCT((MONTH('Ofícios'!B4:B1001)=10)*(ISNUMBER('Ofícios'!B4:B1001)))</f>
        <v>#VALUE!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4.25" customHeight="1">
      <c r="A22" s="43"/>
      <c r="B22" s="43" t="str">
        <f>Dados!C13</f>
        <v>Raimunda</v>
      </c>
      <c r="C22" s="54"/>
      <c r="D22" s="54"/>
      <c r="E22" s="43"/>
      <c r="F22" s="43">
        <f>COUNTIF('Ofícios'!F:F, B22)</f>
        <v>5</v>
      </c>
      <c r="G22" s="43"/>
      <c r="H22" s="43" t="s">
        <v>1207</v>
      </c>
      <c r="I22" s="55" t="str">
        <f>SUMPRODUCT((MONTH('Ofícios'!B4:B1001)=11)*(ISNUMBER('Ofícios'!B4:B1001)))</f>
        <v>#VALUE!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4.25" customHeight="1">
      <c r="A23" s="43"/>
      <c r="B23" s="43" t="str">
        <f>Dados!C14</f>
        <v>Raphael</v>
      </c>
      <c r="C23" s="54"/>
      <c r="D23" s="54"/>
      <c r="E23" s="43"/>
      <c r="F23" s="43">
        <f>COUNTIF('Ofícios'!F:F, B23)</f>
        <v>183</v>
      </c>
      <c r="G23" s="43"/>
      <c r="H23" s="43" t="s">
        <v>1208</v>
      </c>
      <c r="I23" s="55" t="str">
        <f>SUMPRODUCT((MONTH('Ofícios'!B4:B1001)=12)*(ISNUMBER('Ofícios'!B4:B1001)))</f>
        <v>#VALUE!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4.25" customHeight="1">
      <c r="A24" s="43"/>
      <c r="B24" s="43" t="str">
        <f>Dados!C15</f>
        <v>Rúbia</v>
      </c>
      <c r="C24" s="54"/>
      <c r="D24" s="54"/>
      <c r="E24" s="43"/>
      <c r="F24" s="43">
        <f>COUNTIF('Ofícios'!F:F, B24)</f>
        <v>2</v>
      </c>
      <c r="G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4.25" customHeight="1">
      <c r="A25" s="43"/>
      <c r="B25" s="43" t="str">
        <f>Dados!C16</f>
        <v>Sebastião</v>
      </c>
      <c r="C25" s="54"/>
      <c r="D25" s="54"/>
      <c r="E25" s="43"/>
      <c r="F25" s="43">
        <f>COUNTIF('Ofícios'!F:F, B25)</f>
        <v>103</v>
      </c>
      <c r="G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4.25" customHeight="1">
      <c r="A26" s="43"/>
      <c r="B26" s="43" t="str">
        <f>Dados!C17</f>
        <v>Tallita</v>
      </c>
      <c r="C26" s="54"/>
      <c r="D26" s="54"/>
      <c r="E26" s="43"/>
      <c r="F26" s="43">
        <f>COUNTIF('Ofícios'!F:F, B26)</f>
        <v>10</v>
      </c>
      <c r="G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4.25" customHeight="1">
      <c r="A27" s="43"/>
      <c r="B27" s="43" t="str">
        <f>Dados!C18</f>
        <v>Thayza</v>
      </c>
      <c r="C27" s="54"/>
      <c r="D27" s="54"/>
      <c r="E27" s="43"/>
      <c r="F27" s="43">
        <f>COUNTIF('Ofícios'!F:F, B27)</f>
        <v>171</v>
      </c>
      <c r="G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4.25" customHeight="1">
      <c r="A28" s="43"/>
      <c r="B28" s="43" t="str">
        <f>Dados!C19</f>
        <v>Tiago</v>
      </c>
      <c r="C28" s="54"/>
      <c r="D28" s="54"/>
      <c r="E28" s="43"/>
      <c r="F28" s="43">
        <f>COUNTIF('Ofícios'!F:F, B28)</f>
        <v>0</v>
      </c>
      <c r="G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4.25" customHeight="1">
      <c r="A29" s="43"/>
      <c r="B29" s="43" t="str">
        <f>Dados!C20</f>
        <v>Helse Montarroyos</v>
      </c>
      <c r="C29" s="54"/>
      <c r="D29" s="54"/>
      <c r="E29" s="43"/>
      <c r="F29" s="43">
        <f>COUNTIF('Ofícios'!F:F, B29)</f>
        <v>19</v>
      </c>
      <c r="G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4.25" customHeight="1">
      <c r="A30" s="43"/>
      <c r="B30" s="43"/>
      <c r="C30" s="43"/>
      <c r="D30" s="43"/>
      <c r="E30" s="43"/>
      <c r="F30" s="43"/>
      <c r="G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4.25" customHeight="1">
      <c r="A31" s="43"/>
      <c r="B31" s="43"/>
      <c r="C31" s="43"/>
      <c r="D31" s="43"/>
      <c r="E31" s="43"/>
      <c r="F31" s="43"/>
      <c r="G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4.25" customHeight="1">
      <c r="A32" s="43"/>
      <c r="B32" s="43"/>
      <c r="C32" s="43"/>
      <c r="D32" s="43"/>
      <c r="E32" s="43"/>
      <c r="F32" s="43"/>
      <c r="G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4.25" customHeight="1">
      <c r="A33" s="43"/>
      <c r="B33" s="43"/>
      <c r="C33" s="43"/>
      <c r="D33" s="43"/>
      <c r="E33" s="43"/>
      <c r="F33" s="43"/>
      <c r="G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4.25" customHeight="1">
      <c r="A34" s="43"/>
      <c r="B34" s="43"/>
      <c r="C34" s="43"/>
      <c r="D34" s="43"/>
      <c r="E34" s="43"/>
      <c r="F34" s="43"/>
      <c r="G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4.25" customHeight="1">
      <c r="A35" s="43"/>
      <c r="B35" s="43"/>
      <c r="C35" s="43"/>
      <c r="D35" s="43"/>
      <c r="E35" s="43"/>
      <c r="F35" s="43"/>
      <c r="G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4.25" customHeight="1">
      <c r="A36" s="43"/>
      <c r="B36" s="43"/>
      <c r="C36" s="43"/>
      <c r="D36" s="43"/>
      <c r="E36" s="43"/>
      <c r="F36" s="43"/>
      <c r="G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4.25" customHeight="1">
      <c r="A37" s="43"/>
      <c r="B37" s="43"/>
      <c r="C37" s="43"/>
      <c r="D37" s="43"/>
      <c r="E37" s="43"/>
      <c r="F37" s="43"/>
      <c r="G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4.25" customHeight="1">
      <c r="A38" s="43"/>
      <c r="B38" s="43"/>
      <c r="C38" s="43"/>
      <c r="D38" s="43"/>
      <c r="E38" s="43"/>
      <c r="F38" s="43"/>
      <c r="G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4.2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4.2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4.2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4.2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4.2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4.2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4.2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4.2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4.2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4.2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4.2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4.2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4.2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4.2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4.2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4.2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4.2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4.2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4.2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4.2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4.2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4.2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4.2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4.2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4.2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4.2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4.2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4.2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4.2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4.2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4.2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4.2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4.2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4.2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4.2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4.2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4.2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4.2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4.2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4.2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4.2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4.2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4.2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4.2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4.2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4.2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4.2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4.2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4.2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4.2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4.2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4.2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4.2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4.2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4.2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4.2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4.2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4.2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4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4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4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4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4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4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8">
    <mergeCell ref="B4:F4"/>
    <mergeCell ref="H4:K4"/>
    <mergeCell ref="M4:Q4"/>
    <mergeCell ref="B5:F9"/>
    <mergeCell ref="H5:K9"/>
    <mergeCell ref="M5:Q9"/>
    <mergeCell ref="B11:F11"/>
    <mergeCell ref="H11:Q1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2025-09-03T00:06:59Z</dcterms:created>
  <dc:creator>raphael cardoso</dc:creator>
</cp:coreProperties>
</file>